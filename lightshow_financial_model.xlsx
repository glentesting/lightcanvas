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156212057f607bd/Lightshow/"/>
    </mc:Choice>
  </mc:AlternateContent>
  <xr:revisionPtr revIDLastSave="18" documentId="11_1F45C66C85145F1A57E242E3864BD966E931D158" xr6:coauthVersionLast="47" xr6:coauthVersionMax="47" xr10:uidLastSave="{CDBD11FD-35F3-419E-B860-70BB4ECFDFA4}"/>
  <bookViews>
    <workbookView xWindow="-98" yWindow="-98" windowWidth="24196" windowHeight="14476" tabRatio="599" xr2:uid="{00000000-000D-0000-FFFF-FFFF00000000}"/>
  </bookViews>
  <sheets>
    <sheet name="START HERE" sheetId="1" r:id="rId1"/>
    <sheet name="ASSUMPTIONS" sheetId="2" r:id="rId2"/>
    <sheet name="REVENUE" sheetId="3" r:id="rId3"/>
    <sheet name="COSTS" sheetId="4" r:id="rId4"/>
    <sheet name="P&amp;L SUMMARY" sheetId="5" r:id="rId5"/>
    <sheet name="SCENARIOS" sheetId="6" r:id="rId6"/>
    <sheet name="PRODUCTS &amp; MERCH"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7" i="6" l="1"/>
  <c r="D17" i="6"/>
  <c r="C17" i="6"/>
  <c r="B17" i="6"/>
  <c r="E16" i="6"/>
  <c r="D16" i="6"/>
  <c r="E14" i="6"/>
  <c r="D14" i="6"/>
  <c r="C14" i="6"/>
  <c r="B14" i="6"/>
  <c r="E13" i="6"/>
  <c r="D13" i="6"/>
  <c r="C13" i="6"/>
  <c r="B13" i="6"/>
  <c r="E12" i="6"/>
  <c r="E15" i="6" s="1"/>
  <c r="E18" i="6" s="1"/>
  <c r="D12" i="6"/>
  <c r="D15" i="6" s="1"/>
  <c r="D18" i="6" s="1"/>
  <c r="C12" i="6"/>
  <c r="C16" i="6" s="1"/>
  <c r="B12" i="6"/>
  <c r="B16" i="6" s="1"/>
  <c r="B29" i="5"/>
  <c r="B26" i="5"/>
  <c r="B18" i="5"/>
  <c r="E18" i="5" s="1"/>
  <c r="F34" i="4"/>
  <c r="B19" i="5" s="1"/>
  <c r="F33" i="4"/>
  <c r="F30" i="4"/>
  <c r="F29" i="4"/>
  <c r="F28" i="4"/>
  <c r="F27" i="4"/>
  <c r="F26" i="4"/>
  <c r="F23" i="4"/>
  <c r="B17" i="5" s="1"/>
  <c r="F22" i="4"/>
  <c r="F21" i="4"/>
  <c r="F20" i="4"/>
  <c r="F19" i="4"/>
  <c r="F18" i="4"/>
  <c r="F15" i="4"/>
  <c r="B16" i="5" s="1"/>
  <c r="E14" i="4"/>
  <c r="D14" i="4"/>
  <c r="C14" i="4"/>
  <c r="B14" i="4"/>
  <c r="F13" i="4"/>
  <c r="E13" i="4"/>
  <c r="D13" i="4"/>
  <c r="C13" i="4"/>
  <c r="B13" i="4"/>
  <c r="F12" i="4"/>
  <c r="E12" i="4"/>
  <c r="D12" i="4"/>
  <c r="C12" i="4"/>
  <c r="B12" i="4"/>
  <c r="F11" i="4"/>
  <c r="E11" i="4"/>
  <c r="D11" i="4"/>
  <c r="C11" i="4"/>
  <c r="B11" i="4"/>
  <c r="F10" i="4"/>
  <c r="E10" i="4"/>
  <c r="D10" i="4"/>
  <c r="C10" i="4"/>
  <c r="B10" i="4"/>
  <c r="F9" i="4"/>
  <c r="E9" i="4"/>
  <c r="D9" i="4"/>
  <c r="C9" i="4"/>
  <c r="B9" i="4"/>
  <c r="F8" i="4"/>
  <c r="E8" i="4"/>
  <c r="D8" i="4"/>
  <c r="C8" i="4"/>
  <c r="B8" i="4"/>
  <c r="F7" i="4"/>
  <c r="E7" i="4"/>
  <c r="D7" i="4"/>
  <c r="C7" i="4"/>
  <c r="B7" i="4"/>
  <c r="F6" i="4"/>
  <c r="E6" i="4"/>
  <c r="D6" i="4"/>
  <c r="C6" i="4"/>
  <c r="B6" i="4"/>
  <c r="F5" i="4"/>
  <c r="F14" i="4" s="1"/>
  <c r="E5" i="4"/>
  <c r="D5" i="4"/>
  <c r="C5" i="4"/>
  <c r="B5" i="4"/>
  <c r="F26" i="3"/>
  <c r="F25" i="3"/>
  <c r="F27" i="3" s="1"/>
  <c r="B9" i="5" s="1"/>
  <c r="E25" i="3"/>
  <c r="D25" i="3"/>
  <c r="C25" i="3"/>
  <c r="B25" i="3"/>
  <c r="E21" i="3"/>
  <c r="E22" i="3" s="1"/>
  <c r="D21" i="3"/>
  <c r="D22" i="3" s="1"/>
  <c r="C21" i="3"/>
  <c r="F21" i="3" s="1"/>
  <c r="E18" i="3"/>
  <c r="D18" i="3"/>
  <c r="C18" i="3"/>
  <c r="B18" i="3"/>
  <c r="F18" i="3" s="1"/>
  <c r="B7" i="5" s="1"/>
  <c r="E15" i="3"/>
  <c r="F15" i="3" s="1"/>
  <c r="B6" i="5" s="1"/>
  <c r="D15" i="3"/>
  <c r="C15" i="3"/>
  <c r="B15" i="3"/>
  <c r="E14" i="3"/>
  <c r="D14" i="3"/>
  <c r="C14" i="3"/>
  <c r="B14" i="3"/>
  <c r="E13" i="3"/>
  <c r="D13" i="3"/>
  <c r="C13" i="3"/>
  <c r="B13" i="3"/>
  <c r="E12" i="3"/>
  <c r="D12" i="3"/>
  <c r="C12" i="3"/>
  <c r="B12" i="3"/>
  <c r="E9" i="3"/>
  <c r="D9" i="3"/>
  <c r="C9" i="3"/>
  <c r="B9" i="3"/>
  <c r="F9" i="3" s="1"/>
  <c r="E8" i="3"/>
  <c r="D8" i="3"/>
  <c r="C8" i="3"/>
  <c r="B8" i="3"/>
  <c r="E7" i="3"/>
  <c r="D7" i="3"/>
  <c r="C7" i="3"/>
  <c r="E6" i="3"/>
  <c r="D6" i="3"/>
  <c r="C6" i="3"/>
  <c r="B6" i="3"/>
  <c r="E5" i="3"/>
  <c r="D5" i="3"/>
  <c r="C5" i="3"/>
  <c r="B5" i="3"/>
  <c r="C16" i="1"/>
  <c r="E6" i="5" l="1"/>
  <c r="D6" i="5"/>
  <c r="C6" i="5"/>
  <c r="E21" i="6"/>
  <c r="E19" i="5"/>
  <c r="D19" i="5"/>
  <c r="C19" i="5"/>
  <c r="D21" i="6"/>
  <c r="C17" i="5"/>
  <c r="D17" i="5"/>
  <c r="E17" i="5"/>
  <c r="E9" i="5"/>
  <c r="D9" i="5"/>
  <c r="C9" i="5"/>
  <c r="F36" i="4"/>
  <c r="B15" i="5"/>
  <c r="E16" i="5"/>
  <c r="D16" i="5"/>
  <c r="C16" i="5"/>
  <c r="E7" i="5"/>
  <c r="D7" i="5"/>
  <c r="C7" i="5"/>
  <c r="B5" i="5"/>
  <c r="D18" i="5"/>
  <c r="C22" i="3"/>
  <c r="F22" i="3" s="1"/>
  <c r="B8" i="5" s="1"/>
  <c r="B15" i="6"/>
  <c r="B18" i="6" s="1"/>
  <c r="C15" i="6"/>
  <c r="C18" i="6" s="1"/>
  <c r="C18" i="5"/>
  <c r="E15" i="5" l="1"/>
  <c r="E20" i="5" s="1"/>
  <c r="D15" i="5"/>
  <c r="D20" i="5" s="1"/>
  <c r="C15" i="5"/>
  <c r="C20" i="5" s="1"/>
  <c r="B20" i="5"/>
  <c r="B21" i="6"/>
  <c r="C19" i="6"/>
  <c r="C18" i="1"/>
  <c r="E19" i="6"/>
  <c r="E20" i="6" s="1"/>
  <c r="D19" i="6"/>
  <c r="D20" i="6" s="1"/>
  <c r="B19" i="6"/>
  <c r="B20" i="6" s="1"/>
  <c r="C21" i="6"/>
  <c r="C20" i="6"/>
  <c r="E8" i="5"/>
  <c r="D8" i="5"/>
  <c r="C8" i="5"/>
  <c r="F29" i="3"/>
  <c r="E5" i="5"/>
  <c r="E10" i="5" s="1"/>
  <c r="D5" i="5"/>
  <c r="D10" i="5" s="1"/>
  <c r="C5" i="5"/>
  <c r="C10" i="5" s="1"/>
  <c r="B10" i="5"/>
  <c r="F30" i="3" l="1"/>
  <c r="B11" i="5" s="1"/>
  <c r="C17" i="1"/>
  <c r="C11" i="5" l="1"/>
  <c r="C12" i="5" s="1"/>
  <c r="D11" i="5"/>
  <c r="D12" i="5" s="1"/>
  <c r="E11" i="5"/>
  <c r="E12" i="5" s="1"/>
  <c r="B12" i="5"/>
  <c r="F31" i="3"/>
  <c r="C20" i="1" l="1"/>
  <c r="C19" i="1"/>
  <c r="B22" i="5"/>
  <c r="B23" i="5" s="1"/>
  <c r="D23" i="5"/>
  <c r="D22" i="5"/>
  <c r="C22" i="5"/>
  <c r="C23" i="5" s="1"/>
  <c r="E22" i="5"/>
  <c r="E23" i="5" s="1"/>
  <c r="B28" i="5" l="1"/>
  <c r="B27" i="5"/>
</calcChain>
</file>

<file path=xl/sharedStrings.xml><?xml version="1.0" encoding="utf-8"?>
<sst xmlns="http://schemas.openxmlformats.org/spreadsheetml/2006/main" count="454" uniqueCount="434">
  <si>
    <t xml:space="preserve">  LIGHTSHOW PLATFORM — FINANCIAL MODEL</t>
  </si>
  <si>
    <t xml:space="preserve">  START HERE — what this model does and what to do with it</t>
  </si>
  <si>
    <t>WHAT IS THIS?</t>
  </si>
  <si>
    <t>This spreadsheet models the financial reality of your Christmas light show platform. It answers: how much will this cost to run, how much will it make, and how many paying users do you need before you stop burning cash.
There are 6 sheets below. You only need to touch ONE of them.</t>
  </si>
  <si>
    <t>THE 6 SHEETS — WHAT EACH ONE IS FOR</t>
  </si>
  <si>
    <t xml:space="preserve">  ASSUMPTIONS</t>
  </si>
  <si>
    <t>The only sheet you need to edit. Change the yellow cells to adjust user counts, pricing, AI credit costs, storage, marketplace settings, and more. Every other sheet recalculates automatically when you change something here.</t>
  </si>
  <si>
    <t xml:space="preserve">  REVENUE</t>
  </si>
  <si>
    <t>Shows exactly where every dollar comes from: subscriptions, AI credit top-up sales, storage overages, marketplace take, and product sales. Broken down by user tier.</t>
  </si>
  <si>
    <t xml:space="preserve">  COSTS</t>
  </si>
  <si>
    <t>Every cost you'll have: Vercel, Supabase, Clerk, Cloudflare, Resend, Sentry, Stripe, AI compute, storage. Fixed costs plus variable costs per tier.</t>
  </si>
  <si>
    <t xml:space="preserve">  P&amp;L SUMMARY</t>
  </si>
  <si>
    <t>The bottom line. Revenue minus costs = how much you're making or burning per month. Also shows Year 1/2/3 projections and a launch reality check section.</t>
  </si>
  <si>
    <t xml:space="preserve">  SCENARIOS</t>
  </si>
  <si>
    <t>Dial multipliers from 0-2x to see Base / Conservative / Worst / Best case side by side. Change one number, all four scenarios update instantly.</t>
  </si>
  <si>
    <t xml:space="preserve">  PRODUCTS</t>
  </si>
  <si>
    <t>Revenue from non-subscription products: yard signs, effect packs, sequence packs, consultations, affiliate hardware. Adjust the blue 'units/mo' column to estimate.</t>
  </si>
  <si>
    <t>YOUR CURRENT NUMBERS AT A GLANCE  (based on ASSUMPTIONS inputs)</t>
  </si>
  <si>
    <t>Starting users (Month 1)</t>
  </si>
  <si>
    <t>Monthly gross revenue</t>
  </si>
  <si>
    <t>All revenue streams — subscriptions, top-ups, marketplace, products</t>
  </si>
  <si>
    <t>Monthly costs</t>
  </si>
  <si>
    <t>Fixed platform + AI compute + storage + marketplace overhead</t>
  </si>
  <si>
    <t>Net monthly result</t>
  </si>
  <si>
    <t>Positive = profit. Negative = how much cash you burn each month.</t>
  </si>
  <si>
    <t>Gross margin %</t>
  </si>
  <si>
    <t>Revenue kept after all direct costs. SaaS target is 70%+.</t>
  </si>
  <si>
    <t>WHAT TO FOCUS ON FIRST</t>
  </si>
  <si>
    <t xml:space="preserve">  Step 1: Go to ASSUMPTIONS</t>
  </si>
  <si>
    <t>Change the yellow 'USER COUNTS' cells to reflect where you realistically think you'll be at launch. Be honest — most founders overestimate early traction. The default (15 Creator, 8 Pro, 2 Installer) is already conservative.</t>
  </si>
  <si>
    <t xml:space="preserve">  Step 2: Check P&amp;L SUMMARY</t>
  </si>
  <si>
    <t>Look at 'Net Monthly Result.' That number is your monthly burn rate at launch. It'll be negative. That's normal and expected. The question is: how negative, and how long can you sustain it before you hit break-even?</t>
  </si>
  <si>
    <t xml:space="preserve">  Step 3: Run SCENARIOS</t>
  </si>
  <si>
    <t>Set the Conservative multipliers to something painful — like 0.3x users. If you still don't go bankrupt in that scenario, you have a resilient model. If you do, you need a lower cost base or a faster path to paying users.</t>
  </si>
  <si>
    <t xml:space="preserve">  Step 4: Adjust ASSUMPTIONS to stress-test</t>
  </si>
  <si>
    <t>The most important assumptions to stress-test: Creator/Pro user counts, monthly churn rate (Creator 7% is high — what if it's 12%?), and the AI credit cost per 1,000. These three drive 90% of your outcome.</t>
  </si>
  <si>
    <t xml:space="preserve">  Step 5: Come back in October</t>
  </si>
  <si>
    <t>This is a seasonal business. The model assumes flat monthly users, but reality is: almost zero activity June-September, then an explosion in November-December. Plan cash accordingly.</t>
  </si>
  <si>
    <t>FIVE NUMBERS THAT MATTER</t>
  </si>
  <si>
    <t>$132/mo</t>
  </si>
  <si>
    <t>Your fixed platform costs at launch</t>
  </si>
  <si>
    <t>Vercel, Supabase, Sentry, Resend, GitHub, domain, misc. This is your floor — you spend this whether you have 1 user or 1,000. Know it cold.</t>
  </si>
  <si>
    <t>~$0.92/user/mo</t>
  </si>
  <si>
    <t>Your true cost to serve a Pro user</t>
  </si>
  <si>
    <t>Storage ($0.12) + AI credits ($0.60) + compute ($0.20) = $0.92. On a $49 plan, that's a 98%+ gross margin. AI credits are the only variable that matters.</t>
  </si>
  <si>
    <t>$0.10 / 1,000 credits</t>
  </si>
  <si>
    <t>What AI actually costs you</t>
  </si>
  <si>
    <t>Blended Haiku + Sonnet rate. One full sequence generation = ~100 credits = $0.01. A Pro user maxing 6,000 credits/mo = $0.60 in AI cost. Entirely manageable.</t>
  </si>
  <si>
    <t>50 credits — lifetime</t>
  </si>
  <si>
    <t>What Free users get, ever</t>
  </si>
  <si>
    <t>Not per month. Not per year. 50 total. Enough to try it 3-4 times. After that: upgrade or you're done with AI. This is your primary conversion lever.</t>
  </si>
  <si>
    <t>2.9% + $0.30</t>
  </si>
  <si>
    <t>What Stripe takes from every single transaction</t>
  </si>
  <si>
    <t>On a $19/mo Creator sub, Stripe keeps $0.85. On a $9 top-up, Stripe keeps $0.56. Small but real — at 1,000 transactions it adds up fast.</t>
  </si>
  <si>
    <t>All formulas in this model are live. Change ASSUMPTIONS → everything updates. Yellow cells = your inputs. Blue inputs in SCENARIOS = multipliers. Do not edit black or green cells — those are calculated.</t>
  </si>
  <si>
    <t>LIGHTSHOW PLATFORM — FINANCIAL MODEL ASSUMPTIONS</t>
  </si>
  <si>
    <t xml:space="preserve">  Blue cells = your inputs (change these). All other sheets recalculate automatically. Defaults are deliberately conservative. Adjust to stress-test.</t>
  </si>
  <si>
    <t>ASSUMPTION</t>
  </si>
  <si>
    <t>VALUE</t>
  </si>
  <si>
    <t>NOTES / CONTEXT</t>
  </si>
  <si>
    <t>USER COUNTS — Starting Month 1</t>
  </si>
  <si>
    <t>PLATFORM FIXED COSTS (Monthly)</t>
  </si>
  <si>
    <t>Free Users (50 lifetime AI credits — ever)</t>
  </si>
  <si>
    <t>Curious/trial. Zero recurring revenue. Costs ~$0.04/mo each in storage + AI.</t>
  </si>
  <si>
    <t>Vercel Pro (hosting + CDN + serverless)</t>
  </si>
  <si>
    <t>Pro $20/mo. Scales to ~$50-100 at 1K+ MAU with heavy serverless usage.</t>
  </si>
  <si>
    <t>Creator Users ($19/mo)</t>
  </si>
  <si>
    <t>Single-home Christmas show. Bread-and-butter tier.</t>
  </si>
  <si>
    <t>Supabase Pro (DB + realtime + storage meta)</t>
  </si>
  <si>
    <t>Includes 8GB DB, 100GB storage, 2M realtime messages.</t>
  </si>
  <si>
    <t>Pro Users ($49/mo)</t>
  </si>
  <si>
    <t>The obsessed hobbyist. 8K pixels, 4 controllers.</t>
  </si>
  <si>
    <t>Clerk Auth — cost per MAU over 10K free</t>
  </si>
  <si>
    <t>Free up to 10K MAU. Use (total users × this rate) if over 10K.</t>
  </si>
  <si>
    <t>Installer Users ($149/mo)</t>
  </si>
  <si>
    <t>Commercial operators. Multiple client shows per season.</t>
  </si>
  <si>
    <t>Cloudflare R2 base fee</t>
  </si>
  <si>
    <t>Free: 10GB, 1M Class A ops, 10M Class B ops. Then $0.015/GB. Zero egress.</t>
  </si>
  <si>
    <t>Resend (transactional email)</t>
  </si>
  <si>
    <t>Billing receipts, credit alerts, export notifications.</t>
  </si>
  <si>
    <t>PRICING</t>
  </si>
  <si>
    <t>Sentry (error + performance monitoring)</t>
  </si>
  <si>
    <t>Team plan. 50K errors/mo. Worth every penny.</t>
  </si>
  <si>
    <t>Creator Monthly Price</t>
  </si>
  <si>
    <t>GitHub (code + CI/CD actions)</t>
  </si>
  <si>
    <t>Team plan with Actions minutes.</t>
  </si>
  <si>
    <t>Pro Monthly Price</t>
  </si>
  <si>
    <t>Domain + DNS + SSL</t>
  </si>
  <si>
    <t>~$24/yr domain amortized. Cloudflare DNS free. SSL auto-managed.</t>
  </si>
  <si>
    <t>Installer Monthly Price</t>
  </si>
  <si>
    <t>Stripe Processing Fee %</t>
  </si>
  <si>
    <t>Standard 2.9% + $0.30 applied to ALL revenue transactions.</t>
  </si>
  <si>
    <t>Annual Plan Discount %</t>
  </si>
  <si>
    <t>15% off. No free months — chargeback risk on seasonal product.</t>
  </si>
  <si>
    <t>Stripe Fixed Fee per Transaction ($)</t>
  </si>
  <si>
    <t>The $0.30 flat charge per charge event. Hurts most on small top-up packs.</t>
  </si>
  <si>
    <t>% Creator Users on Annual Plan</t>
  </si>
  <si>
    <t>Conservative. Seasonality makes annual commitment harder to sell.</t>
  </si>
  <si>
    <t>Anthropic API Monthly Budget Buffer</t>
  </si>
  <si>
    <t>Monthly AI API safety buffer for unexpected usage spikes.</t>
  </si>
  <si>
    <t>% Pro Users on Annual Plan</t>
  </si>
  <si>
    <t>More committed hobbyists. Higher annual adoption.</t>
  </si>
  <si>
    <t>Miscellaneous / Unplanned</t>
  </si>
  <si>
    <t>There's ALWAYS something. New tool, one-off service, surprise fee. Keep this line.</t>
  </si>
  <si>
    <t>% Installer Users on Annual Plan</t>
  </si>
  <si>
    <t>Business users plan ahead.</t>
  </si>
  <si>
    <t>AI CREDITS — Model: Haiku for simple / Sonnet for generation</t>
  </si>
  <si>
    <t>MARKETPLACE</t>
  </si>
  <si>
    <t>AI Cost per 1,000 Credits ($)</t>
  </si>
  <si>
    <t>Blended Haiku+Sonnet. ~$0.08-0.14 per full generation @ 100 credits.</t>
  </si>
  <si>
    <t>Avg Marketplace Transaction Value ($)</t>
  </si>
  <si>
    <t>Sequence packs, effects, presets, show designs.</t>
  </si>
  <si>
    <t>Free Tier Credits (lifetime total, NOT monthly)</t>
  </si>
  <si>
    <t>50 ever. Once gone: upgrade or no more AI. Creates conversion urgency.</t>
  </si>
  <si>
    <t>Avg Transactions per Active Seller / Mo</t>
  </si>
  <si>
    <t>Conservative. Mostly Nov-Jan, near-zero off-season.</t>
  </si>
  <si>
    <t>Creator Credits / Month</t>
  </si>
  <si>
    <t>~15 full generations. Enough for one solid home show.</t>
  </si>
  <si>
    <t>% Creator Users Who Sell</t>
  </si>
  <si>
    <t>~1 in 12.</t>
  </si>
  <si>
    <t>Pro Credits / Month</t>
  </si>
  <si>
    <t>~60 generations. Rolls over up to 2x cap.</t>
  </si>
  <si>
    <t>% Pro Users Who Sell</t>
  </si>
  <si>
    <t>~1 in 5. Ambitious hobbyists are more likely to monetize their work.</t>
  </si>
  <si>
    <t>Installer Credits / Month</t>
  </si>
  <si>
    <t>~250 generations. Covers AI Batch on 10-15 client shows.</t>
  </si>
  <si>
    <t>% Installer Users Who Sell</t>
  </si>
  <si>
    <t>Some list their sequences; most are focused on client installs.</t>
  </si>
  <si>
    <t>Top-Up Pack A (1,000 credits) — Sell Price</t>
  </si>
  <si>
    <t>Platform Take — Free Sellers</t>
  </si>
  <si>
    <t>Platform keeps 50%, seller keeps 50%.</t>
  </si>
  <si>
    <t>Top-Up Pack A (1,000 credits) — Your Cost</t>
  </si>
  <si>
    <t>Anthropic compute cost to deliver 1,000 credits to the user.</t>
  </si>
  <si>
    <t>Platform Take — Creator Sellers</t>
  </si>
  <si>
    <t>Platform 40%, seller 60%.</t>
  </si>
  <si>
    <t>Top-Up Pack B (5,000 credits) — Sell Price</t>
  </si>
  <si>
    <t>Platform Take — Pro Sellers</t>
  </si>
  <si>
    <t>Platform 30%, seller 70%.</t>
  </si>
  <si>
    <t>Top-Up Pack B (5,000 credits) — Your Cost</t>
  </si>
  <si>
    <t>Platform Take — Installer Sellers</t>
  </si>
  <si>
    <t>Platform 25%, seller 75%.</t>
  </si>
  <si>
    <t>% Creator Buying Top-Ups / Mo</t>
  </si>
  <si>
    <t>1 in 20 Creator users buys a top-up each month. Nov spike likely.</t>
  </si>
  <si>
    <t>Marketplace Stripe Processing %</t>
  </si>
  <si>
    <t>Stripe charges a fee on every marketplace payout too.</t>
  </si>
  <si>
    <t>% Pro Buying Top-Ups / Mo</t>
  </si>
  <si>
    <t>1 in 7.</t>
  </si>
  <si>
    <t>% Installer Buying Top-Ups / Mo</t>
  </si>
  <si>
    <t>1 in 4. Heavy AI Batch users.</t>
  </si>
  <si>
    <t>Avg Top-Up Purchase Value ($)</t>
  </si>
  <si>
    <t>Blended average: Pack A ($9) and Pack B ($39).</t>
  </si>
  <si>
    <t>PHYSICAL &amp; DIGITAL PRODUCTS</t>
  </si>
  <si>
    <t>Avg Top-Up Compute Cost to Deliver ($)</t>
  </si>
  <si>
    <t>Your blended AI compute cost to fulfill avg top-up purchase.</t>
  </si>
  <si>
    <t>Yard Sign — Digital Printable PDF Price</t>
  </si>
  <si>
    <t>"Tune to 88.9 FM" custom sign. Instant delivery. Near-100% margin.</t>
  </si>
  <si>
    <t>Yard Sign — Physical (Printed + Shipped) Price</t>
  </si>
  <si>
    <t>Weatherproof corrugated. Print-on-demand via Printful/Gelato.</t>
  </si>
  <si>
    <t>STORAGE — Cloudflare R2 (no egress fees)</t>
  </si>
  <si>
    <t>Effect Pack Price</t>
  </si>
  <si>
    <t>Premium effects not in base subscription.</t>
  </si>
  <si>
    <t>Storage Cost per GB / Month ($)</t>
  </si>
  <si>
    <t>R2 pricing. ZERO egress charges. S3 would cost 10-50x more on bandwidth for a media-heavy app.</t>
  </si>
  <si>
    <t>Sequence Pack Price</t>
  </si>
  <si>
    <t>Ready-to-use sequences for popular holiday songs.</t>
  </si>
  <si>
    <t>Avg Storage — Free User (GB)</t>
  </si>
  <si>
    <t>One project, minimal history. ~200 MB.</t>
  </si>
  <si>
    <t>Show Planning Consultation Price</t>
  </si>
  <si>
    <t>1-hr video call. High-touch upsell for new Installers.</t>
  </si>
  <si>
    <t>Avg Storage — Creator User (GB)</t>
  </si>
  <si>
    <t>3-5 projects + 90-day version history.</t>
  </si>
  <si>
    <t>% Paying Users Purchasing Product / Mo</t>
  </si>
  <si>
    <t>1 in 50 paying users per month. Very seasonal — most purchases Oct-Dec.</t>
  </si>
  <si>
    <t>Avg Storage — Pro User (GB)</t>
  </si>
  <si>
    <t>10-20 shows + 1-year version history.</t>
  </si>
  <si>
    <t>COGS — Digital Sign ($)</t>
  </si>
  <si>
    <t>Storage + PDF generation. Near-zero cost.</t>
  </si>
  <si>
    <t>Avg Storage — Installer User (GB)</t>
  </si>
  <si>
    <t>50+ client shows. Cold-archive after 90 days idle saves ~70% of hot storage cost.</t>
  </si>
  <si>
    <t>COGS — Physical Sign ($)</t>
  </si>
  <si>
    <t>Print + ship via print-on-demand. Varies by region.</t>
  </si>
  <si>
    <t>Storage Overage Add-On Price / Mo ($)</t>
  </si>
  <si>
    <t>Per 50GB over quota. Soft cap — email warning at 110%, block new shows at 130%.</t>
  </si>
  <si>
    <t>COGS — Effect Pack ($)</t>
  </si>
  <si>
    <t>Pure digital. Zero COGS.</t>
  </si>
  <si>
    <t>% Creator Hitting Storage Overage / Mo</t>
  </si>
  <si>
    <t>1 in 50.</t>
  </si>
  <si>
    <t>COGS — Sequence Pack ($)</t>
  </si>
  <si>
    <t>% Pro Hitting Storage Overage / Mo</t>
  </si>
  <si>
    <t>% Installer Hitting Storage Overage / Mo</t>
  </si>
  <si>
    <t>1 in 10.</t>
  </si>
  <si>
    <t>GROWTH, CHURN &amp; CONVERSION</t>
  </si>
  <si>
    <t>Monthly Churn — Creator</t>
  </si>
  <si>
    <t>7%/mo = high. Expect January surge in cancellations post-Christmas.</t>
  </si>
  <si>
    <t>Monthly Churn — Pro</t>
  </si>
  <si>
    <t>4%/mo. More invested and sticky.</t>
  </si>
  <si>
    <t>Monthly Churn — Installer</t>
  </si>
  <si>
    <t>2%/mo. Business dependency.</t>
  </si>
  <si>
    <t>New Organic Free Signups / Month (M1)</t>
  </si>
  <si>
    <t>Starting organic reach. No paid marketing assumed.</t>
  </si>
  <si>
    <t>Free Signup Growth Rate Mo/Mo</t>
  </si>
  <si>
    <t>10% monthly organic growth.</t>
  </si>
  <si>
    <t>Free-to-Creator Monthly Conversion %</t>
  </si>
  <si>
    <t>5% of Free users convert each month.</t>
  </si>
  <si>
    <t>COLOR LEGEND</t>
  </si>
  <si>
    <t>Blue text on yellow = Input (change these)</t>
  </si>
  <si>
    <t>Black text = Formula / Calculation (do not edit)</t>
  </si>
  <si>
    <t>Green text = Cross-sheet reference</t>
  </si>
  <si>
    <t>REVENUE MODEL — MONTHLY SNAPSHOT</t>
  </si>
  <si>
    <t xml:space="preserve">  All values pull from ASSUMPTIONS sheet. Change inputs there. This sheet shows one-month revenue at current user counts.</t>
  </si>
  <si>
    <t>REVENUE LINE</t>
  </si>
  <si>
    <t>FREE</t>
  </si>
  <si>
    <t>CREATOR</t>
  </si>
  <si>
    <t>PRO</t>
  </si>
  <si>
    <t>INSTALLER</t>
  </si>
  <si>
    <t>TOTAL / MO</t>
  </si>
  <si>
    <t>NOTES</t>
  </si>
  <si>
    <t>SUBSCRIPTION REVENUE (MRR)</t>
  </si>
  <si>
    <t>Monthly-pay subscribers</t>
  </si>
  <si>
    <t>Users on monthly billing</t>
  </si>
  <si>
    <t>Annual-plan subscribers (amortized/mo)</t>
  </si>
  <si>
    <t>Annual users — billed upfront, amortized here</t>
  </si>
  <si>
    <t>Revenue from monthly subscribers</t>
  </si>
  <si>
    <t>Revenue from annual subscribers (amortized/mo)</t>
  </si>
  <si>
    <t>TOTAL SUBSCRIPTION REVENUE</t>
  </si>
  <si>
    <t>Your monthly recurring subscription base</t>
  </si>
  <si>
    <t>AI CREDIT TOP-UP SALES (Add-On Revenue)</t>
  </si>
  <si>
    <t>Creator users buying top-ups</t>
  </si>
  <si>
    <t>Pro users buying top-ups</t>
  </si>
  <si>
    <t>Installer users buying top-ups</t>
  </si>
  <si>
    <t>TOTAL TOP-UP REVENUE</t>
  </si>
  <si>
    <t>Top-ups are high-margin: ~$22 revenue / ~$0.30 cost each</t>
  </si>
  <si>
    <t>STORAGE OVERAGE ADD-ONS</t>
  </si>
  <si>
    <t>TOTAL STORAGE OVERAGE REVENUE</t>
  </si>
  <si>
    <t>$5/50GB add-on. Small but real.</t>
  </si>
  <si>
    <t>MARKETPLACE — PLATFORM'S SHARE OF GMV</t>
  </si>
  <si>
    <t>Gross Merchandise Value (GMV) — all sellers</t>
  </si>
  <si>
    <t>Total sales volume flowing through marketplace</t>
  </si>
  <si>
    <t>PLATFORM'S MARKETPLACE REVENUE (net of Stripe)</t>
  </si>
  <si>
    <t>Your take from marketplace GMV after Stripe</t>
  </si>
  <si>
    <t>PHYSICAL &amp; DIGITAL PRODUCT REVENUE</t>
  </si>
  <si>
    <t>TOTAL PRODUCT REVENUE (gross)</t>
  </si>
  <si>
    <t>40% digital signs, 30% physical signs, 20% effect packs, 10% sequence packs (assumed mix)</t>
  </si>
  <si>
    <t>Less: Product COGS (print/ship/delivery)</t>
  </si>
  <si>
    <t>Physical sign COGS is real (~$14). Digital is near-zero.</t>
  </si>
  <si>
    <t>NET PRODUCT REVENUE (after COGS)</t>
  </si>
  <si>
    <t>TOTAL GROSS REVENUE / MONTH</t>
  </si>
  <si>
    <t>All revenue streams combined</t>
  </si>
  <si>
    <t>Less: Stripe Processing (2.9% + $0.30/txn est)</t>
  </si>
  <si>
    <t>Stripe takes this off the top of every charge</t>
  </si>
  <si>
    <t>NET REVENUE / MONTH (after Stripe)</t>
  </si>
  <si>
    <t>INFRASTRUCTURE &amp; OPERATING COSTS — MONTHLY</t>
  </si>
  <si>
    <t xml:space="preserve">  Conservative estimates throughout. Granular by cost type and tier. All pull from ASSUMPTIONS.</t>
  </si>
  <si>
    <t>COST LINE</t>
  </si>
  <si>
    <t>FIXED PLATFORM COSTS (same regardless of users)</t>
  </si>
  <si>
    <t>Vercel Pro (hosting + CDN + serverless functions)</t>
  </si>
  <si>
    <t>Flat $20/mo. Increases to ~$50+ at scale with function invocations.</t>
  </si>
  <si>
    <t>Supabase Pro (DB + realtime + storage metadata)</t>
  </si>
  <si>
    <t>Covers DB, realtime subscriptions, 50K MAU auth.</t>
  </si>
  <si>
    <t>Cloudflare R2 (base tier, zero egress)</t>
  </si>
  <si>
    <t>Free under 10GB/1M ops. R2 has NO egress fees — critical cost saver.</t>
  </si>
  <si>
    <t>Billing receipts, credit-low alerts, export ready notifications.</t>
  </si>
  <si>
    <t>Team plan. Error tracking + performance. Non-negotiable for reliability.</t>
  </si>
  <si>
    <t>GitHub (code hosting + CI/CD actions)</t>
  </si>
  <si>
    <t>Team plan covers all Actions minutes for normal deployment.</t>
  </si>
  <si>
    <t>Domain + DNS + SSL certificates</t>
  </si>
  <si>
    <t>Anthropic API monthly budget buffer</t>
  </si>
  <si>
    <t>Safety net for unexpected AI usage spikes. Adjust as usage scales.</t>
  </si>
  <si>
    <t>Miscellaneous / unplanned costs</t>
  </si>
  <si>
    <t>Always something. New tool, one-off service, surprise fee.</t>
  </si>
  <si>
    <t>TOTAL FIXED PLATFORM COSTS</t>
  </si>
  <si>
    <t>These run whether you have 1 user or 10,000</t>
  </si>
  <si>
    <t>Clerk Auth — scales with users (per MAU over 10K)</t>
  </si>
  <si>
    <t>Free up to 10K MAU. At launch you're well under — this is $0.</t>
  </si>
  <si>
    <t>AI COMPUTE COSTS (variable — scales with usage)</t>
  </si>
  <si>
    <t>Free users — AI cost (amortized from lifetime 50 credits)</t>
  </si>
  <si>
    <t>50 lifetime credits amortized over 12 months. Near-zero.</t>
  </si>
  <si>
    <t>Creator users — monthly AI credit cost</t>
  </si>
  <si>
    <t>1,500 credits × $0.10/1K = $0.15/user/mo. Very manageable.</t>
  </si>
  <si>
    <t>Pro users — monthly AI credit cost</t>
  </si>
  <si>
    <t>6,000 credits × $0.10/1K = $0.60/user/mo.</t>
  </si>
  <si>
    <t>Installer users — monthly AI credit cost</t>
  </si>
  <si>
    <t>25,000 credits × $0.10/1K = $2.50/user/mo.</t>
  </si>
  <si>
    <t>Top-up delivery AI cost (compute to fulfill top-up purchases)</t>
  </si>
  <si>
    <t>Your cost to fulfill top-up orders. ~$0.30 each on avg $22 sale = fat margin.</t>
  </si>
  <si>
    <t>TOTAL AI COMPUTE COSTS</t>
  </si>
  <si>
    <t>Metered credits make this predictable. Top-ups are nearly pure profit.</t>
  </si>
  <si>
    <t>STORAGE COSTS (Cloudflare R2 — no egress)</t>
  </si>
  <si>
    <t>Free users — storage cost</t>
  </si>
  <si>
    <t>~200 MB × $0.015/GB = $0.003/user. Basically free.</t>
  </si>
  <si>
    <t>Creator users — storage cost</t>
  </si>
  <si>
    <t>~1.5 GB × $0.015 = $0.023/user/mo. Negligible.</t>
  </si>
  <si>
    <t>Pro users — storage cost</t>
  </si>
  <si>
    <t>~8 GB × $0.015 = $0.12/user/mo.</t>
  </si>
  <si>
    <t>Installer users — storage cost</t>
  </si>
  <si>
    <t>~50 GB × $0.015 = $0.75/user/mo. Cold archive cuts this ~70% off-season.</t>
  </si>
  <si>
    <t>TOTAL STORAGE COSTS</t>
  </si>
  <si>
    <t>Storage is NOT your cost problem. AI credits are.</t>
  </si>
  <si>
    <t>MARKETPLACE INFRASTRUCTURE COSTS</t>
  </si>
  <si>
    <t>Marketplace Stripe processing (on seller payouts)</t>
  </si>
  <si>
    <t>Stripe charges on every marketplace transaction (already deducted in Revenue sheet)</t>
  </si>
  <si>
    <t>TOTAL MARKETPLACE COSTS</t>
  </si>
  <si>
    <t>TOTAL OPERATING COSTS / MONTH</t>
  </si>
  <si>
    <t>Fixed costs + AI + Storage + Marketplace overhead</t>
  </si>
  <si>
    <t>P&amp;L SUMMARY — CURRENT MONTH SNAPSHOT + ANNUAL VIEW</t>
  </si>
  <si>
    <t xml:space="preserve">  Snapshot based on current ASSUMPTIONS inputs. Revenue from REVENUE sheet. Costs from COSTS sheet.</t>
  </si>
  <si>
    <t>LINE ITEM</t>
  </si>
  <si>
    <t>CURRENT MO</t>
  </si>
  <si>
    <t>YR 1 (x12)</t>
  </si>
  <si>
    <t>YR 2 EST</t>
  </si>
  <si>
    <t>YR 3 EST</t>
  </si>
  <si>
    <t>REVENUE</t>
  </si>
  <si>
    <t>Subscription MRR</t>
  </si>
  <si>
    <t>Monthly recurring subs — your most predictable revenue</t>
  </si>
  <si>
    <t>AI Credit Top-Up Sales</t>
  </si>
  <si>
    <t>High-margin add-on. Grows as users hit credit caps.</t>
  </si>
  <si>
    <t>Storage Overage Revenue</t>
  </si>
  <si>
    <t>Small but real. Mostly Installer tier.</t>
  </si>
  <si>
    <t>Marketplace — Platform Revenue</t>
  </si>
  <si>
    <t>Your take from marketplace GMV.</t>
  </si>
  <si>
    <t>Physical &amp; Digital Products (net)</t>
  </si>
  <si>
    <t>Highly seasonal. Mostly Oct-Dec.</t>
  </si>
  <si>
    <t>GROSS REVENUE</t>
  </si>
  <si>
    <t>Less: Stripe Processing</t>
  </si>
  <si>
    <t>NET REVENUE</t>
  </si>
  <si>
    <t>COSTS</t>
  </si>
  <si>
    <t>Fixed Platform Costs</t>
  </si>
  <si>
    <t>Vercel, Supabase, Resend, Sentry, etc.</t>
  </si>
  <si>
    <t>Clerk Auth (variable by MAU)</t>
  </si>
  <si>
    <t>Zero at launch. Kicks in after 10K MAU.</t>
  </si>
  <si>
    <t>AI Compute Costs</t>
  </si>
  <si>
    <t>Your biggest variable cost. Fully metered.</t>
  </si>
  <si>
    <t>Storage Costs (R2)</t>
  </si>
  <si>
    <t>Tiny. R2's zero-egress policy saves a lot.</t>
  </si>
  <si>
    <t>Marketplace Infrastructure</t>
  </si>
  <si>
    <t>Stripe on marketplace payouts.</t>
  </si>
  <si>
    <t>TOTAL COSTS</t>
  </si>
  <si>
    <t>NET MONTHLY RESULT (+ = profit, - = burn)</t>
  </si>
  <si>
    <t>Gross Margin %</t>
  </si>
  <si>
    <t>LAUNCH REALITY CHECK</t>
  </si>
  <si>
    <t>Total Paying Users (Month 1)</t>
  </si>
  <si>
    <t>How many people are actually paying at launch</t>
  </si>
  <si>
    <t>Monthly Burn Rate (if negative)</t>
  </si>
  <si>
    <t>How much cash you lose per month at current user counts</t>
  </si>
  <si>
    <t>Monthly Cash In (if positive)</t>
  </si>
  <si>
    <t>You're profitable if this is positive</t>
  </si>
  <si>
    <t>Cost per Free User / Mo</t>
  </si>
  <si>
    <t>Free users aren't free — they cost ~$0.04/mo each</t>
  </si>
  <si>
    <t>SCENARIO ANALYSIS — BASE / CONSERVATIVE / WORST CASE</t>
  </si>
  <si>
    <t xml:space="preserve">  Three revenue scenarios. All costs from COSTS sheet (fixed). Adjust assumption multiples in blue cells below.</t>
  </si>
  <si>
    <t>METRIC</t>
  </si>
  <si>
    <t>BASE CASE</t>
  </si>
  <si>
    <t>CONSERVATIVE</t>
  </si>
  <si>
    <t>WORST CASE</t>
  </si>
  <si>
    <t>BEST CASE</t>
  </si>
  <si>
    <t>SCENARIO MULTIPLIERS — adjust these</t>
  </si>
  <si>
    <t>Creator user count multiplier</t>
  </si>
  <si>
    <t>Applied to assumption user counts. 1.0 = use as-is.</t>
  </si>
  <si>
    <t>Pro user count multiplier</t>
  </si>
  <si>
    <t>Installer user count multiplier</t>
  </si>
  <si>
    <t>Top-up purchase rate multiplier</t>
  </si>
  <si>
    <t>Marketplace activity multiplier</t>
  </si>
  <si>
    <t>Marketplace is the most volatile line — seasonal, hard to predict early on</t>
  </si>
  <si>
    <t>SCENARIO RESULTS</t>
  </si>
  <si>
    <t>Creator Users</t>
  </si>
  <si>
    <t>Pro Users</t>
  </si>
  <si>
    <t>Installer Users</t>
  </si>
  <si>
    <t>Subscription Revenue / Mo</t>
  </si>
  <si>
    <t>Blended monthly + discounted annual</t>
  </si>
  <si>
    <t>Top-Up Revenue / Mo</t>
  </si>
  <si>
    <t>AI credit top-up purchases</t>
  </si>
  <si>
    <t>Marketplace Revenue / Mo</t>
  </si>
  <si>
    <t>Platform take from marketplace GMV</t>
  </si>
  <si>
    <t>TOTAL REVENUE / MONTH</t>
  </si>
  <si>
    <t>Total Costs / Month (from COSTS sheet)</t>
  </si>
  <si>
    <t>NET RESULT / MONTH</t>
  </si>
  <si>
    <t>Annual Revenue Run Rate</t>
  </si>
  <si>
    <t>NON-SAAS REVENUE OPPORTUNITIES — PRODUCTS &amp; MERCH</t>
  </si>
  <si>
    <t xml:space="preserve">  Additional revenue streams beyond subscriptions. Estimates only — validate with audience before investing.</t>
  </si>
  <si>
    <t>PRODUCT / OPPORTUNITY</t>
  </si>
  <si>
    <t>PRICE RANGE</t>
  </si>
  <si>
    <t>COGS EST</t>
  </si>
  <si>
    <t>GROSS MARGIN</t>
  </si>
  <si>
    <t>EST UNITS/MO</t>
  </si>
  <si>
    <t>EST MO REVENUE</t>
  </si>
  <si>
    <t>NOTES &amp; STRATEGY</t>
  </si>
  <si>
    <t>YARD SIGNAGE &amp; SHOW BRANDING</t>
  </si>
  <si>
    <t>Yard Sign — 'Tune to [freq] FM' Digital PDF</t>
  </si>
  <si>
    <t>$10–$15</t>
  </si>
  <si>
    <t>Highest-margin product. Hobbyists want these badly. Customize with frequency, show name, year. Instant delivery = zero fulfillment friction.</t>
  </si>
  <si>
    <t>Yard Sign — Physical Printed (corrugated, weatherproof)</t>
  </si>
  <si>
    <t>$30–$40</t>
  </si>
  <si>
    <t>Via Printful or Gelato print-on-demand. No inventory. Set-and-forget fulfillment.</t>
  </si>
  <si>
    <t>Show Name + Branding Bundle (sign + social graphic template)</t>
  </si>
  <si>
    <t>$25–$35</t>
  </si>
  <si>
    <t>Package: printable sign + Canva social media template + email invite template. High perceived value, near-zero cost.</t>
  </si>
  <si>
    <t>LED Light-Up Yard Sign (custom order)</t>
  </si>
  <si>
    <t>$75–$150</t>
  </si>
  <si>
    <t>Premium. Source via Alibaba or local sign shop. High ticket, lower volume. Best for Installer tier clients.</t>
  </si>
  <si>
    <t>DIGITAL CONTENT PACKS</t>
  </si>
  <si>
    <t>Premium Effect Pack (10-15 new effects)</t>
  </si>
  <si>
    <t>$12–$18</t>
  </si>
  <si>
    <t>Pure digital. Zero COGS. Bundle effects not in base subscription. Create quarterly to keep catalog fresh.</t>
  </si>
  <si>
    <t>Sequence Pack — Popular Holiday Songs (5-song bundle)</t>
  </si>
  <si>
    <t>$18–$25</t>
  </si>
  <si>
    <t>Pre-built sequences for recognizable songs (TSO, Mannheim Steamroller, etc.). Creator tier primary buyer.</t>
  </si>
  <si>
    <t>AI Style Preset Pack (5 curated show styles)</t>
  </si>
  <si>
    <t>AI personality presets for different aesthetics: 'Synchronized Intensity', 'Soft Family', 'Club Banger'.</t>
  </si>
  <si>
    <t>Fixture Layout Template Pack (popular controller configs)</t>
  </si>
  <si>
    <t>$8–$12</t>
  </si>
  <si>
    <t>Pre-configured layouts for LOR, Falcon, xLights hardware setups. Massive time-saver for new users.</t>
  </si>
  <si>
    <t>SERVICES &amp; CONSULTATIONS</t>
  </si>
  <si>
    <t>Show Planning Consultation (1-hr video call)</t>
  </si>
  <si>
    <t>$79–$119</t>
  </si>
  <si>
    <t>Done-with-you session. Strong upsell for people transitioning from Creator to Pro, or Installer acquiring first big client.</t>
  </si>
  <si>
    <t>Done-For-You Show Build (full service)</t>
  </si>
  <si>
    <t>$299–$599</t>
  </si>
  <si>
    <t>Contractor creates the full sequence for them. Marketplace opportunity: connect buyers with Pro/Installer sellers. Platform takes cut.</t>
  </si>
  <si>
    <t>HOA / Neighborhood Show Package</t>
  </si>
  <si>
    <t>$499–$999</t>
  </si>
  <si>
    <t>White-label the platform for HOA-sponsored neighborhood shows. Multi-property + shared FM frequency. Installer-tier target.</t>
  </si>
  <si>
    <t>HARDWARE-ADJACENT (affiliate / bundled)</t>
  </si>
  <si>
    <t>Hardware Buying Guide (affiliate links to Amazon/vendors)</t>
  </si>
  <si>
    <t>Varies</t>
  </si>
  <si>
    <t>Passive income. Commission on controller, pixel string, power supply purchases. Low effort — write it once.</t>
  </si>
  <si>
    <t>Controller Programming Service (add-on to Installer tier)</t>
  </si>
  <si>
    <t>Installer pays extra to have sequences pre-loaded to SD card and mailed. Operational service revenue.</t>
  </si>
  <si>
    <t>FM Transmitter Bundle (curated recommendation + affiliate)</t>
  </si>
  <si>
    <t>Every light show hobbyist needs one. Curate the best options, affiliate link. Contextual — recommend at export step.</t>
  </si>
  <si>
    <t>Pixel Mapping Templates for Popular Controllers (LOR, Falcon, xLights)</t>
  </si>
  <si>
    <t>Fixture maps for the most common hardware setups. Saves hours. $5-10 each. High volume potential from search traffic.</t>
  </si>
  <si>
    <t>ESTIMATED MONTHLY PRODUCT REVENUE TOTAL</t>
  </si>
  <si>
    <t>Conservative total (blue units × avg price)</t>
  </si>
  <si>
    <t>Adjust blue 'units/mo' cells above. Revenue is avg_pri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</si>
</sst>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0\);\-"/>
    <numFmt numFmtId="165" formatCode="0.0%;\(0.0%\);\-"/>
    <numFmt numFmtId="166" formatCode="#,##0;\(#,##0\);\-"/>
    <numFmt numFmtId="167" formatCode="\$#,##0.00;&quot;($&quot;#,##0.00\);\-"/>
    <numFmt numFmtId="168" formatCode="\$#,##0;[Red]&quot;($&quot;#,##0\);\-"/>
  </numFmts>
  <fonts count="25" x14ac:knownFonts="1">
    <font>
      <sz val="11"/>
      <color theme="1"/>
      <name val="Calibri"/>
      <family val="2"/>
      <charset val="1"/>
    </font>
    <font>
      <b/>
      <sz val="16"/>
      <color rgb="FFFFFFFF"/>
      <name val="Arial"/>
      <charset val="1"/>
    </font>
    <font>
      <sz val="10"/>
      <color rgb="FF78350F"/>
      <name val="Arial"/>
      <charset val="1"/>
    </font>
    <font>
      <b/>
      <sz val="11"/>
      <color rgb="FFFFFFFF"/>
      <name val="Arial"/>
      <charset val="1"/>
    </font>
    <font>
      <sz val="10"/>
      <color rgb="FF000000"/>
      <name val="Arial"/>
      <charset val="1"/>
    </font>
    <font>
      <b/>
      <sz val="10"/>
      <color rgb="FF000000"/>
      <name val="Arial"/>
      <charset val="1"/>
    </font>
    <font>
      <sz val="9"/>
      <color rgb="FF000000"/>
      <name val="Arial"/>
      <charset val="1"/>
    </font>
    <font>
      <b/>
      <sz val="10"/>
      <color rgb="FF1A6645"/>
      <name val="Arial"/>
      <charset val="1"/>
    </font>
    <font>
      <b/>
      <sz val="10"/>
      <color rgb="FF7F1D1D"/>
      <name val="Arial"/>
      <charset val="1"/>
    </font>
    <font>
      <b/>
      <sz val="10"/>
      <color rgb="FF2557A7"/>
      <name val="Arial"/>
      <charset val="1"/>
    </font>
    <font>
      <b/>
      <sz val="10"/>
      <color rgb="FF4C1D95"/>
      <name val="Arial"/>
      <charset val="1"/>
    </font>
    <font>
      <b/>
      <sz val="10"/>
      <color rgb="FF78350F"/>
      <name val="Arial"/>
      <charset val="1"/>
    </font>
    <font>
      <b/>
      <sz val="13"/>
      <color rgb="FF000000"/>
      <name val="Arial"/>
      <charset val="1"/>
    </font>
    <font>
      <sz val="9"/>
      <color rgb="FF6B7280"/>
      <name val="Arial"/>
      <charset val="1"/>
    </font>
    <font>
      <i/>
      <sz val="9"/>
      <color rgb="FF6B7280"/>
      <name val="Arial"/>
      <charset val="1"/>
    </font>
    <font>
      <b/>
      <sz val="13"/>
      <color rgb="FFFFFFFF"/>
      <name val="Arial"/>
      <charset val="1"/>
    </font>
    <font>
      <i/>
      <sz val="9"/>
      <color rgb="FF78350F"/>
      <name val="Arial"/>
      <charset val="1"/>
    </font>
    <font>
      <b/>
      <sz val="9"/>
      <color rgb="FFFFFFFF"/>
      <name val="Arial"/>
      <charset val="1"/>
    </font>
    <font>
      <b/>
      <sz val="10"/>
      <color rgb="FFFFFFFF"/>
      <name val="Arial"/>
      <charset val="1"/>
    </font>
    <font>
      <sz val="10"/>
      <color rgb="FF0000FF"/>
      <name val="Arial"/>
      <charset val="1"/>
    </font>
    <font>
      <b/>
      <sz val="10"/>
      <color rgb="FF0000FF"/>
      <name val="Arial"/>
      <charset val="1"/>
    </font>
    <font>
      <sz val="10"/>
      <color rgb="FF008000"/>
      <name val="Arial"/>
      <charset val="1"/>
    </font>
    <font>
      <sz val="10"/>
      <color rgb="FF7F1D1D"/>
      <name val="Arial"/>
      <charset val="1"/>
    </font>
    <font>
      <i/>
      <sz val="10"/>
      <color rgb="FF6B7280"/>
      <name val="Arial"/>
      <charset val="1"/>
    </font>
    <font>
      <b/>
      <sz val="12"/>
      <color rgb="FF000000"/>
      <name val="Arial"/>
      <family val="2"/>
    </font>
  </fonts>
  <fills count="19">
    <fill>
      <patternFill patternType="none"/>
    </fill>
    <fill>
      <patternFill patternType="gray125"/>
    </fill>
    <fill>
      <patternFill patternType="solid">
        <fgColor rgb="FF1B2E4B"/>
        <bgColor rgb="FF134E4A"/>
      </patternFill>
    </fill>
    <fill>
      <patternFill patternType="solid">
        <fgColor rgb="FFFEF3C7"/>
        <bgColor rgb="FFFFEDD5"/>
      </patternFill>
    </fill>
    <fill>
      <patternFill patternType="solid">
        <fgColor rgb="FF2557A7"/>
        <bgColor rgb="FF3366FF"/>
      </patternFill>
    </fill>
    <fill>
      <patternFill patternType="solid">
        <fgColor rgb="FFFFFDE7"/>
        <bgColor rgb="FFF9FAFB"/>
      </patternFill>
    </fill>
    <fill>
      <patternFill patternType="solid">
        <fgColor rgb="FFD6F0E4"/>
        <bgColor rgb="FFDDEEFF"/>
      </patternFill>
    </fill>
    <fill>
      <patternFill patternType="solid">
        <fgColor rgb="FFFEE2E2"/>
        <bgColor rgb="FFFFEDD5"/>
      </patternFill>
    </fill>
    <fill>
      <patternFill patternType="solid">
        <fgColor rgb="FFDDEEFF"/>
        <bgColor rgb="FFEDE9FE"/>
      </patternFill>
    </fill>
    <fill>
      <patternFill patternType="solid">
        <fgColor rgb="FFEDE9FE"/>
        <bgColor rgb="FFDDEEFF"/>
      </patternFill>
    </fill>
    <fill>
      <patternFill patternType="solid">
        <fgColor rgb="FFFFEDD5"/>
        <bgColor rgb="FFFEF3C7"/>
      </patternFill>
    </fill>
    <fill>
      <patternFill patternType="solid">
        <fgColor rgb="FF1A6645"/>
        <bgColor rgb="FF134E4A"/>
      </patternFill>
    </fill>
    <fill>
      <patternFill patternType="solid">
        <fgColor rgb="FF6B7280"/>
        <bgColor rgb="FF888888"/>
      </patternFill>
    </fill>
    <fill>
      <patternFill patternType="solid">
        <fgColor rgb="FF4C1D95"/>
        <bgColor rgb="FF660066"/>
      </patternFill>
    </fill>
    <fill>
      <patternFill patternType="solid">
        <fgColor rgb="FF92400E"/>
        <bgColor rgb="FF78350F"/>
      </patternFill>
    </fill>
    <fill>
      <patternFill patternType="solid">
        <fgColor rgb="FF7F1D1D"/>
        <bgColor rgb="FF78350F"/>
      </patternFill>
    </fill>
    <fill>
      <patternFill patternType="solid">
        <fgColor rgb="FFF9FAFB"/>
        <bgColor rgb="FFFFFFFF"/>
      </patternFill>
    </fill>
    <fill>
      <patternFill patternType="solid">
        <fgColor rgb="FF134E4A"/>
        <bgColor rgb="FF1A6645"/>
      </patternFill>
    </fill>
    <fill>
      <patternFill patternType="solid">
        <fgColor rgb="FF78350F"/>
        <bgColor rgb="FF92400E"/>
      </patternFill>
    </fill>
  </fills>
  <borders count="4">
    <border>
      <left/>
      <right/>
      <top/>
      <bottom/>
      <diagonal/>
    </border>
    <border>
      <left style="thin">
        <color rgb="FFF9A825"/>
      </left>
      <right style="thin">
        <color rgb="FFF9A825"/>
      </right>
      <top style="thin">
        <color rgb="FFF9A825"/>
      </top>
      <bottom style="thin">
        <color rgb="FFF9A825"/>
      </bottom>
      <diagonal/>
    </border>
    <border>
      <left style="thin">
        <color rgb="FFCCCCCC"/>
      </left>
      <right style="thin">
        <color rgb="FFCCCCCC"/>
      </right>
      <top style="thin">
        <color rgb="FFCCCCCC"/>
      </top>
      <bottom style="thin">
        <color rgb="FFCCCCCC"/>
      </bottom>
      <diagonal/>
    </border>
    <border>
      <left style="medium">
        <color rgb="FF888888"/>
      </left>
      <right style="medium">
        <color rgb="FF888888"/>
      </right>
      <top style="medium">
        <color rgb="FF888888"/>
      </top>
      <bottom style="medium">
        <color rgb="FF888888"/>
      </bottom>
      <diagonal/>
    </border>
  </borders>
  <cellStyleXfs count="1">
    <xf numFmtId="0" fontId="0" fillId="0" borderId="0"/>
  </cellStyleXfs>
  <cellXfs count="90">
    <xf numFmtId="0" fontId="0" fillId="0" borderId="0" xfId="0"/>
    <xf numFmtId="0" fontId="18" fillId="13" borderId="0" xfId="0" applyFont="1" applyFill="1" applyAlignment="1">
      <alignment horizontal="left" vertical="center"/>
    </xf>
    <xf numFmtId="0" fontId="18" fillId="11" borderId="0" xfId="0" applyFont="1" applyFill="1" applyAlignment="1">
      <alignment horizontal="left" vertical="center"/>
    </xf>
    <xf numFmtId="0" fontId="18" fillId="4" borderId="0" xfId="0" applyFont="1" applyFill="1" applyAlignment="1">
      <alignment horizontal="left" vertical="center"/>
    </xf>
    <xf numFmtId="0" fontId="16" fillId="3" borderId="0" xfId="0" applyFont="1" applyFill="1" applyAlignment="1">
      <alignment horizontal="left" vertical="center"/>
    </xf>
    <xf numFmtId="0" fontId="15" fillId="2" borderId="0" xfId="0" applyFont="1" applyFill="1" applyAlignment="1">
      <alignment horizontal="center" vertical="center"/>
    </xf>
    <xf numFmtId="0" fontId="14" fillId="0" borderId="0" xfId="0" applyFont="1" applyAlignment="1">
      <alignment horizontal="left" vertical="center" wrapText="1"/>
    </xf>
    <xf numFmtId="0" fontId="3" fillId="11" borderId="0" xfId="0" applyFont="1" applyFill="1" applyAlignment="1">
      <alignment horizontal="left" vertical="center"/>
    </xf>
    <xf numFmtId="0" fontId="5" fillId="8" borderId="0" xfId="0" applyFont="1" applyFill="1" applyAlignment="1">
      <alignment horizontal="left" vertical="center"/>
    </xf>
    <xf numFmtId="0" fontId="6" fillId="0" borderId="0" xfId="0" applyFont="1" applyAlignment="1">
      <alignment horizontal="left" vertical="center" wrapText="1"/>
    </xf>
    <xf numFmtId="0" fontId="3" fillId="2" borderId="0" xfId="0" applyFont="1" applyFill="1" applyAlignment="1">
      <alignment horizontal="left" vertical="center"/>
    </xf>
    <xf numFmtId="0" fontId="4" fillId="0" borderId="0" xfId="0" applyFont="1" applyAlignment="1">
      <alignment horizontal="left" vertical="center" wrapText="1"/>
    </xf>
    <xf numFmtId="0" fontId="3" fillId="4" borderId="0" xfId="0" applyFont="1" applyFill="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left" vertical="center"/>
    </xf>
    <xf numFmtId="0" fontId="4" fillId="0" borderId="0" xfId="0" applyFont="1" applyAlignment="1">
      <alignment horizontal="left" vertical="center" wrapText="1"/>
    </xf>
    <xf numFmtId="0" fontId="3" fillId="2" borderId="0" xfId="0" applyFont="1" applyFill="1" applyAlignment="1">
      <alignment horizontal="left" vertical="center"/>
    </xf>
    <xf numFmtId="0" fontId="5" fillId="5" borderId="1" xfId="0" applyFont="1" applyFill="1" applyBorder="1" applyAlignment="1">
      <alignment horizontal="left" vertical="center"/>
    </xf>
    <xf numFmtId="0" fontId="7" fillId="6" borderId="0" xfId="0" applyFont="1" applyFill="1" applyAlignment="1">
      <alignment horizontal="left" vertical="center"/>
    </xf>
    <xf numFmtId="0" fontId="8" fillId="7" borderId="0" xfId="0" applyFont="1" applyFill="1" applyAlignment="1">
      <alignment horizontal="left" vertical="center"/>
    </xf>
    <xf numFmtId="0" fontId="9" fillId="8" borderId="0" xfId="0" applyFont="1" applyFill="1" applyAlignment="1">
      <alignment horizontal="left" vertical="center"/>
    </xf>
    <xf numFmtId="0" fontId="10" fillId="9" borderId="0" xfId="0" applyFont="1" applyFill="1" applyAlignment="1">
      <alignment horizontal="left" vertical="center"/>
    </xf>
    <xf numFmtId="0" fontId="11" fillId="10" borderId="0" xfId="0" applyFont="1" applyFill="1" applyAlignment="1">
      <alignment horizontal="left" vertical="center"/>
    </xf>
    <xf numFmtId="0" fontId="4" fillId="0" borderId="0" xfId="0" applyFont="1" applyAlignment="1">
      <alignment horizontal="left" vertical="center"/>
    </xf>
    <xf numFmtId="164" fontId="12" fillId="6" borderId="0" xfId="0" applyNumberFormat="1" applyFont="1" applyFill="1" applyAlignment="1">
      <alignment horizontal="right" vertical="center"/>
    </xf>
    <xf numFmtId="0" fontId="13" fillId="0" borderId="0" xfId="0" applyFont="1" applyAlignment="1">
      <alignment horizontal="left" vertical="center" wrapText="1"/>
    </xf>
    <xf numFmtId="164" fontId="12" fillId="7" borderId="0" xfId="0" applyNumberFormat="1" applyFont="1" applyFill="1" applyAlignment="1">
      <alignment horizontal="right" vertical="center"/>
    </xf>
    <xf numFmtId="164" fontId="12" fillId="0" borderId="0" xfId="0" applyNumberFormat="1" applyFont="1" applyAlignment="1">
      <alignment horizontal="right" vertical="center"/>
    </xf>
    <xf numFmtId="165" fontId="12" fillId="0" borderId="0" xfId="0" applyNumberFormat="1" applyFont="1" applyAlignment="1">
      <alignment horizontal="right" vertical="center"/>
    </xf>
    <xf numFmtId="0" fontId="11" fillId="3" borderId="0" xfId="0" applyFont="1" applyFill="1" applyAlignment="1">
      <alignment horizontal="left" vertical="center"/>
    </xf>
    <xf numFmtId="0" fontId="5" fillId="0" borderId="0" xfId="0" applyFont="1" applyAlignment="1">
      <alignment horizontal="left" vertical="center"/>
    </xf>
    <xf numFmtId="0" fontId="17" fillId="12" borderId="0" xfId="0" applyFont="1" applyFill="1" applyAlignment="1">
      <alignment horizontal="center" vertical="center" wrapText="1"/>
    </xf>
    <xf numFmtId="166" fontId="19" fillId="5" borderId="1" xfId="0" applyNumberFormat="1" applyFont="1" applyFill="1" applyBorder="1" applyAlignment="1">
      <alignment horizontal="right" vertical="center"/>
    </xf>
    <xf numFmtId="0" fontId="14" fillId="0" borderId="0" xfId="0" applyFont="1" applyAlignment="1">
      <alignment horizontal="left" vertical="top" wrapText="1"/>
    </xf>
    <xf numFmtId="164" fontId="19" fillId="5" borderId="1" xfId="0" applyNumberFormat="1" applyFont="1" applyFill="1" applyBorder="1" applyAlignment="1">
      <alignment horizontal="right" vertical="center"/>
    </xf>
    <xf numFmtId="167" fontId="19" fillId="5" borderId="1" xfId="0" applyNumberFormat="1" applyFont="1" applyFill="1" applyBorder="1" applyAlignment="1">
      <alignment horizontal="right" vertical="center"/>
    </xf>
    <xf numFmtId="0" fontId="14" fillId="0" borderId="0" xfId="0" applyFont="1" applyAlignment="1">
      <alignment horizontal="left" vertical="center"/>
    </xf>
    <xf numFmtId="165" fontId="19" fillId="5" borderId="1" xfId="0" applyNumberFormat="1" applyFont="1" applyFill="1" applyBorder="1" applyAlignment="1">
      <alignment horizontal="right" vertical="center"/>
    </xf>
    <xf numFmtId="4" fontId="19" fillId="5" borderId="1" xfId="0" applyNumberFormat="1" applyFont="1" applyFill="1" applyBorder="1" applyAlignment="1">
      <alignment horizontal="right" vertical="center"/>
    </xf>
    <xf numFmtId="0" fontId="20" fillId="5" borderId="1" xfId="0" applyFont="1" applyFill="1" applyBorder="1" applyAlignment="1">
      <alignment horizontal="left" vertical="center"/>
    </xf>
    <xf numFmtId="0" fontId="21" fillId="0" borderId="0" xfId="0" applyFont="1" applyAlignment="1">
      <alignment horizontal="left" vertical="center"/>
    </xf>
    <xf numFmtId="0" fontId="17" fillId="12" borderId="0" xfId="0" applyFont="1" applyFill="1" applyAlignment="1">
      <alignment horizontal="left" vertical="center"/>
    </xf>
    <xf numFmtId="0" fontId="14" fillId="12" borderId="0" xfId="0" applyFont="1" applyFill="1" applyAlignment="1">
      <alignment horizontal="left" vertical="center"/>
    </xf>
    <xf numFmtId="0" fontId="4" fillId="0" borderId="0" xfId="0" applyFont="1" applyAlignment="1">
      <alignment horizontal="left" vertical="center" indent="1"/>
    </xf>
    <xf numFmtId="164" fontId="4" fillId="16" borderId="2" xfId="0" applyNumberFormat="1" applyFont="1" applyFill="1" applyBorder="1" applyAlignment="1">
      <alignment horizontal="right" vertical="center"/>
    </xf>
    <xf numFmtId="166" fontId="4" fillId="0" borderId="2" xfId="0" applyNumberFormat="1" applyFont="1" applyBorder="1" applyAlignment="1">
      <alignment horizontal="right" vertical="center"/>
    </xf>
    <xf numFmtId="164" fontId="4" fillId="0" borderId="2" xfId="0" applyNumberFormat="1" applyFont="1" applyBorder="1" applyAlignment="1">
      <alignment horizontal="right" vertical="center"/>
    </xf>
    <xf numFmtId="0" fontId="5" fillId="8" borderId="3" xfId="0" applyFont="1" applyFill="1" applyBorder="1" applyAlignment="1">
      <alignment horizontal="left" vertical="center"/>
    </xf>
    <xf numFmtId="164" fontId="5" fillId="16" borderId="3" xfId="0" applyNumberFormat="1" applyFont="1" applyFill="1" applyBorder="1" applyAlignment="1">
      <alignment horizontal="right" vertical="center"/>
    </xf>
    <xf numFmtId="164" fontId="5" fillId="8" borderId="3" xfId="0" applyNumberFormat="1" applyFont="1" applyFill="1" applyBorder="1" applyAlignment="1">
      <alignment horizontal="right" vertical="center"/>
    </xf>
    <xf numFmtId="166" fontId="4" fillId="16" borderId="2" xfId="0" applyNumberFormat="1" applyFont="1" applyFill="1" applyBorder="1" applyAlignment="1">
      <alignment horizontal="right" vertical="center"/>
    </xf>
    <xf numFmtId="164" fontId="4" fillId="8" borderId="2" xfId="0" applyNumberFormat="1" applyFont="1" applyFill="1" applyBorder="1" applyAlignment="1">
      <alignment horizontal="right" vertical="center"/>
    </xf>
    <xf numFmtId="164" fontId="4" fillId="16" borderId="3" xfId="0" applyNumberFormat="1" applyFont="1" applyFill="1" applyBorder="1" applyAlignment="1">
      <alignment horizontal="right" vertical="center"/>
    </xf>
    <xf numFmtId="164" fontId="4" fillId="8" borderId="3" xfId="0" applyNumberFormat="1" applyFont="1" applyFill="1" applyBorder="1" applyAlignment="1">
      <alignment horizontal="right" vertical="center"/>
    </xf>
    <xf numFmtId="164" fontId="4" fillId="7" borderId="2" xfId="0" applyNumberFormat="1" applyFont="1" applyFill="1" applyBorder="1" applyAlignment="1">
      <alignment horizontal="right" vertical="center"/>
    </xf>
    <xf numFmtId="164" fontId="5" fillId="6" borderId="3" xfId="0" applyNumberFormat="1" applyFont="1" applyFill="1" applyBorder="1" applyAlignment="1">
      <alignment horizontal="right" vertical="center"/>
    </xf>
    <xf numFmtId="164" fontId="3" fillId="2" borderId="0" xfId="0" applyNumberFormat="1" applyFont="1" applyFill="1" applyAlignment="1">
      <alignment horizontal="right" vertical="center"/>
    </xf>
    <xf numFmtId="0" fontId="22" fillId="0" borderId="0" xfId="0" applyFont="1" applyAlignment="1">
      <alignment horizontal="left" vertical="center"/>
    </xf>
    <xf numFmtId="164" fontId="3" fillId="11" borderId="0" xfId="0" applyNumberFormat="1" applyFont="1" applyFill="1" applyAlignment="1">
      <alignment horizontal="right" vertical="center"/>
    </xf>
    <xf numFmtId="164" fontId="21" fillId="0" borderId="2" xfId="0" applyNumberFormat="1" applyFont="1" applyBorder="1" applyAlignment="1">
      <alignment horizontal="right" vertical="center"/>
    </xf>
    <xf numFmtId="167" fontId="4" fillId="0" borderId="2" xfId="0" applyNumberFormat="1" applyFont="1" applyBorder="1" applyAlignment="1">
      <alignment horizontal="right" vertical="center"/>
    </xf>
    <xf numFmtId="164" fontId="3" fillId="15" borderId="0" xfId="0" applyNumberFormat="1" applyFont="1" applyFill="1" applyAlignment="1">
      <alignment horizontal="right" vertical="center"/>
    </xf>
    <xf numFmtId="0" fontId="22" fillId="0" borderId="0" xfId="0" applyFont="1" applyAlignment="1">
      <alignment horizontal="left" vertical="center" indent="1"/>
    </xf>
    <xf numFmtId="0" fontId="5" fillId="6" borderId="3" xfId="0" applyFont="1" applyFill="1" applyBorder="1" applyAlignment="1">
      <alignment horizontal="left" vertical="center"/>
    </xf>
    <xf numFmtId="0" fontId="5" fillId="7" borderId="3" xfId="0" applyFont="1" applyFill="1" applyBorder="1" applyAlignment="1">
      <alignment horizontal="left" vertical="center"/>
    </xf>
    <xf numFmtId="164" fontId="5" fillId="7" borderId="3" xfId="0" applyNumberFormat="1" applyFont="1" applyFill="1" applyBorder="1" applyAlignment="1">
      <alignment horizontal="right" vertical="center"/>
    </xf>
    <xf numFmtId="168" fontId="3" fillId="2" borderId="0" xfId="0" applyNumberFormat="1" applyFont="1" applyFill="1" applyAlignment="1">
      <alignment horizontal="right" vertical="center"/>
    </xf>
    <xf numFmtId="165" fontId="5" fillId="0" borderId="0" xfId="0" applyNumberFormat="1" applyFont="1" applyAlignment="1">
      <alignment horizontal="right" vertical="center"/>
    </xf>
    <xf numFmtId="166" fontId="4" fillId="0" borderId="0" xfId="0" applyNumberFormat="1" applyFont="1" applyAlignment="1">
      <alignment horizontal="right" vertical="center"/>
    </xf>
    <xf numFmtId="164" fontId="4" fillId="0" borderId="0" xfId="0" applyNumberFormat="1" applyFont="1" applyAlignment="1">
      <alignment horizontal="right" vertical="center"/>
    </xf>
    <xf numFmtId="0" fontId="5" fillId="2" borderId="3" xfId="0" applyFont="1" applyFill="1" applyBorder="1" applyAlignment="1">
      <alignment horizontal="left" vertical="center"/>
    </xf>
    <xf numFmtId="168" fontId="18" fillId="2" borderId="0" xfId="0" applyNumberFormat="1" applyFont="1" applyFill="1" applyAlignment="1">
      <alignment horizontal="right" vertical="center"/>
    </xf>
    <xf numFmtId="164" fontId="4" fillId="6" borderId="2" xfId="0" applyNumberFormat="1" applyFont="1" applyFill="1" applyBorder="1" applyAlignment="1">
      <alignment horizontal="right" vertical="center"/>
    </xf>
    <xf numFmtId="0" fontId="4" fillId="0" borderId="0" xfId="0" applyFont="1" applyAlignment="1">
      <alignment horizontal="center" vertical="center"/>
    </xf>
    <xf numFmtId="165" fontId="4" fillId="0" borderId="0" xfId="0" applyNumberFormat="1" applyFont="1" applyAlignment="1">
      <alignment horizontal="right" vertical="center"/>
    </xf>
    <xf numFmtId="164" fontId="5" fillId="0" borderId="0" xfId="0" applyNumberFormat="1" applyFont="1" applyAlignment="1">
      <alignment horizontal="right" vertical="center"/>
    </xf>
    <xf numFmtId="0" fontId="23" fillId="0" borderId="0" xfId="0" applyFont="1" applyAlignment="1">
      <alignment horizontal="center" vertical="center"/>
    </xf>
    <xf numFmtId="0" fontId="18" fillId="14" borderId="0" xfId="0" applyFont="1" applyFill="1" applyAlignment="1">
      <alignment horizontal="left" vertical="center"/>
    </xf>
    <xf numFmtId="0" fontId="18" fillId="15" borderId="0" xfId="0" applyFont="1" applyFill="1" applyAlignment="1">
      <alignment horizontal="left" vertical="center"/>
    </xf>
    <xf numFmtId="0" fontId="18" fillId="12" borderId="0" xfId="0" applyFont="1" applyFill="1" applyAlignment="1">
      <alignment horizontal="left" vertical="center"/>
    </xf>
    <xf numFmtId="0" fontId="15" fillId="2" borderId="0" xfId="0" applyFont="1" applyFill="1" applyAlignment="1">
      <alignment horizontal="left" vertical="center"/>
    </xf>
    <xf numFmtId="0" fontId="18" fillId="17" borderId="0" xfId="0" applyFont="1" applyFill="1" applyAlignment="1">
      <alignment horizontal="left" vertical="center"/>
    </xf>
    <xf numFmtId="0" fontId="18" fillId="18" borderId="0" xfId="0" applyFont="1" applyFill="1" applyAlignment="1">
      <alignment horizontal="left" vertical="center"/>
    </xf>
    <xf numFmtId="0" fontId="3" fillId="15" borderId="0" xfId="0" applyFont="1" applyFill="1" applyAlignment="1">
      <alignment horizontal="left" vertical="center"/>
    </xf>
    <xf numFmtId="0" fontId="18" fillId="2" borderId="0" xfId="0" applyFont="1" applyFill="1" applyAlignment="1">
      <alignment horizontal="left" vertical="center"/>
    </xf>
    <xf numFmtId="0" fontId="17" fillId="12" borderId="0" xfId="0" applyFont="1" applyFill="1" applyAlignment="1">
      <alignment horizontal="left" vertical="center" wrapText="1"/>
    </xf>
    <xf numFmtId="0" fontId="0" fillId="0" borderId="0" xfId="0" applyAlignment="1">
      <alignment wrapText="1"/>
    </xf>
    <xf numFmtId="0" fontId="5" fillId="0" borderId="0" xfId="0" applyFont="1" applyAlignment="1">
      <alignment horizontal="left" vertical="center" wrapText="1"/>
    </xf>
    <xf numFmtId="0" fontId="14" fillId="12" borderId="0" xfId="0" applyFont="1" applyFill="1" applyAlignment="1">
      <alignment horizontal="left" vertical="center" wrapText="1"/>
    </xf>
    <xf numFmtId="0" fontId="24" fillId="8"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1D1D"/>
      <rgbColor rgb="FF008000"/>
      <rgbColor rgb="FF000080"/>
      <rgbColor rgb="FF808000"/>
      <rgbColor rgb="FF800080"/>
      <rgbColor rgb="FF1A6645"/>
      <rgbColor rgb="FFCCCCCC"/>
      <rgbColor rgb="FF888888"/>
      <rgbColor rgb="FF9999FF"/>
      <rgbColor rgb="FF78350F"/>
      <rgbColor rgb="FFFFFDE7"/>
      <rgbColor rgb="FFDDEEFF"/>
      <rgbColor rgb="FF660066"/>
      <rgbColor rgb="FFFF8080"/>
      <rgbColor rgb="FF2557A7"/>
      <rgbColor rgb="FFFFEDD5"/>
      <rgbColor rgb="FF000080"/>
      <rgbColor rgb="FFFF00FF"/>
      <rgbColor rgb="FFFFFF00"/>
      <rgbColor rgb="FF00FFFF"/>
      <rgbColor rgb="FF800080"/>
      <rgbColor rgb="FF800000"/>
      <rgbColor rgb="FF008080"/>
      <rgbColor rgb="FF0000FF"/>
      <rgbColor rgb="FF00CCFF"/>
      <rgbColor rgb="FFEDE9FE"/>
      <rgbColor rgb="FFD6F0E4"/>
      <rgbColor rgb="FFFEF3C7"/>
      <rgbColor rgb="FFF9FAFB"/>
      <rgbColor rgb="FFFF99CC"/>
      <rgbColor rgb="FFCC99FF"/>
      <rgbColor rgb="FFFEE2E2"/>
      <rgbColor rgb="FF3366FF"/>
      <rgbColor rgb="FF33CCCC"/>
      <rgbColor rgb="FF99CC00"/>
      <rgbColor rgb="FFFFCC00"/>
      <rgbColor rgb="FFF9A825"/>
      <rgbColor rgb="FFFF6600"/>
      <rgbColor rgb="FF6B7280"/>
      <rgbColor rgb="FF969696"/>
      <rgbColor rgb="FF134E4A"/>
      <rgbColor rgb="FF339966"/>
      <rgbColor rgb="FF003300"/>
      <rgbColor rgb="FF333300"/>
      <rgbColor rgb="FF92400E"/>
      <rgbColor rgb="FF993366"/>
      <rgbColor rgb="FF4C1D95"/>
      <rgbColor rgb="FF1B2E4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showGridLines="0" tabSelected="1" zoomScaleNormal="100" workbookViewId="0">
      <selection activeCell="B5" sqref="B5:D5"/>
    </sheetView>
  </sheetViews>
  <sheetFormatPr defaultColWidth="8.6640625" defaultRowHeight="14.25" x14ac:dyDescent="0.45"/>
  <cols>
    <col min="1" max="1" width="4" customWidth="1"/>
    <col min="2" max="2" width="36" customWidth="1"/>
    <col min="3" max="3" width="20.265625" customWidth="1"/>
    <col min="4" max="4" width="44.46484375" customWidth="1"/>
    <col min="5" max="5" width="4" customWidth="1"/>
  </cols>
  <sheetData>
    <row r="1" spans="1:5" ht="39.75" customHeight="1" x14ac:dyDescent="0.45">
      <c r="A1" s="14" t="s">
        <v>0</v>
      </c>
      <c r="B1" s="14"/>
      <c r="C1" s="14"/>
      <c r="D1" s="14"/>
      <c r="E1" s="14"/>
    </row>
    <row r="2" spans="1:5" ht="19.5" customHeight="1" x14ac:dyDescent="0.45">
      <c r="A2" s="13" t="s">
        <v>1</v>
      </c>
      <c r="B2" s="13"/>
      <c r="C2" s="13"/>
      <c r="D2" s="13"/>
      <c r="E2" s="13"/>
    </row>
    <row r="3" spans="1:5" ht="9.75" customHeight="1" x14ac:dyDescent="0.45"/>
    <row r="4" spans="1:5" ht="24" customHeight="1" x14ac:dyDescent="0.45">
      <c r="B4" s="12" t="s">
        <v>2</v>
      </c>
      <c r="C4" s="12"/>
      <c r="D4" s="12"/>
    </row>
    <row r="5" spans="1:5" ht="69.75" customHeight="1" x14ac:dyDescent="0.45">
      <c r="B5" s="11" t="s">
        <v>3</v>
      </c>
      <c r="C5" s="11"/>
      <c r="D5" s="11"/>
    </row>
    <row r="6" spans="1:5" ht="9.75" customHeight="1" x14ac:dyDescent="0.45"/>
    <row r="7" spans="1:5" ht="24" customHeight="1" x14ac:dyDescent="0.45">
      <c r="B7" s="10" t="s">
        <v>4</v>
      </c>
      <c r="C7" s="10"/>
      <c r="D7" s="10"/>
    </row>
    <row r="8" spans="1:5" ht="51.75" customHeight="1" x14ac:dyDescent="0.45">
      <c r="B8" s="17" t="s">
        <v>5</v>
      </c>
      <c r="C8" s="9" t="s">
        <v>6</v>
      </c>
      <c r="D8" s="9"/>
    </row>
    <row r="9" spans="1:5" ht="51.75" customHeight="1" x14ac:dyDescent="0.45">
      <c r="B9" s="18" t="s">
        <v>7</v>
      </c>
      <c r="C9" s="9" t="s">
        <v>8</v>
      </c>
      <c r="D9" s="9"/>
    </row>
    <row r="10" spans="1:5" ht="51.75" customHeight="1" x14ac:dyDescent="0.45">
      <c r="B10" s="19" t="s">
        <v>9</v>
      </c>
      <c r="C10" s="9" t="s">
        <v>10</v>
      </c>
      <c r="D10" s="9"/>
    </row>
    <row r="11" spans="1:5" ht="51.75" customHeight="1" x14ac:dyDescent="0.45">
      <c r="B11" s="20" t="s">
        <v>11</v>
      </c>
      <c r="C11" s="9" t="s">
        <v>12</v>
      </c>
      <c r="D11" s="9"/>
    </row>
    <row r="12" spans="1:5" ht="51.75" customHeight="1" x14ac:dyDescent="0.45">
      <c r="B12" s="21" t="s">
        <v>13</v>
      </c>
      <c r="C12" s="9" t="s">
        <v>14</v>
      </c>
      <c r="D12" s="9"/>
    </row>
    <row r="13" spans="1:5" ht="51.75" customHeight="1" x14ac:dyDescent="0.45">
      <c r="B13" s="22" t="s">
        <v>15</v>
      </c>
      <c r="C13" s="9" t="s">
        <v>16</v>
      </c>
      <c r="D13" s="9"/>
    </row>
    <row r="14" spans="1:5" ht="12" customHeight="1" x14ac:dyDescent="0.45"/>
    <row r="15" spans="1:5" ht="24" customHeight="1" x14ac:dyDescent="0.45">
      <c r="B15" s="10" t="s">
        <v>17</v>
      </c>
      <c r="C15" s="10"/>
      <c r="D15" s="10"/>
    </row>
    <row r="16" spans="1:5" ht="19.5" customHeight="1" x14ac:dyDescent="0.45">
      <c r="B16" s="23" t="s">
        <v>18</v>
      </c>
      <c r="C16" s="8" t="str">
        <f>ASSUMPTIONS!B5&amp;" Free  |  "&amp;ASSUMPTIONS!B6&amp;" Creator  |  "&amp;ASSUMPTIONS!B7&amp;" Pro  |  "&amp;ASSUMPTIONS!B8&amp;" Installer"</f>
        <v>100 Free  |  15 Creator  |  8 Pro  |  2 Installer</v>
      </c>
      <c r="D16" s="8"/>
    </row>
    <row r="17" spans="2:4" ht="24" customHeight="1" x14ac:dyDescent="0.45">
      <c r="B17" s="23" t="s">
        <v>19</v>
      </c>
      <c r="C17" s="24">
        <f>REVENUE!F29</f>
        <v>1054.04</v>
      </c>
      <c r="D17" s="25" t="s">
        <v>20</v>
      </c>
    </row>
    <row r="18" spans="2:4" ht="24" customHeight="1" x14ac:dyDescent="0.45">
      <c r="B18" s="23" t="s">
        <v>21</v>
      </c>
      <c r="C18" s="26">
        <f>COSTS!F36</f>
        <v>151.97999999999999</v>
      </c>
      <c r="D18" s="25" t="s">
        <v>22</v>
      </c>
    </row>
    <row r="19" spans="2:4" ht="24" customHeight="1" x14ac:dyDescent="0.45">
      <c r="B19" s="23" t="s">
        <v>23</v>
      </c>
      <c r="C19" s="27">
        <f>REVENUE!F31-COSTS!F36</f>
        <v>863.9899999999999</v>
      </c>
      <c r="D19" s="25" t="s">
        <v>24</v>
      </c>
    </row>
    <row r="20" spans="2:4" ht="24" customHeight="1" x14ac:dyDescent="0.45">
      <c r="B20" s="23" t="s">
        <v>25</v>
      </c>
      <c r="C20" s="28">
        <f>IF(REVENUE!F31&gt;0,(REVENUE!F31-COSTS!F36)/REVENUE!F31,0)</f>
        <v>0.85040896876876282</v>
      </c>
      <c r="D20" s="25" t="s">
        <v>26</v>
      </c>
    </row>
    <row r="21" spans="2:4" ht="12" customHeight="1" x14ac:dyDescent="0.45"/>
    <row r="22" spans="2:4" ht="24" customHeight="1" x14ac:dyDescent="0.45">
      <c r="B22" s="7" t="s">
        <v>27</v>
      </c>
      <c r="C22" s="7"/>
      <c r="D22" s="7"/>
    </row>
    <row r="23" spans="2:4" ht="57.75" customHeight="1" x14ac:dyDescent="0.45">
      <c r="B23" s="29" t="s">
        <v>28</v>
      </c>
      <c r="C23" s="9" t="s">
        <v>29</v>
      </c>
      <c r="D23" s="9"/>
    </row>
    <row r="24" spans="2:4" ht="57.75" customHeight="1" x14ac:dyDescent="0.45">
      <c r="B24" s="29" t="s">
        <v>30</v>
      </c>
      <c r="C24" s="9" t="s">
        <v>31</v>
      </c>
      <c r="D24" s="9"/>
    </row>
    <row r="25" spans="2:4" ht="57.75" customHeight="1" x14ac:dyDescent="0.45">
      <c r="B25" s="29" t="s">
        <v>32</v>
      </c>
      <c r="C25" s="9" t="s">
        <v>33</v>
      </c>
      <c r="D25" s="9"/>
    </row>
    <row r="26" spans="2:4" ht="57.75" customHeight="1" x14ac:dyDescent="0.45">
      <c r="B26" s="29" t="s">
        <v>34</v>
      </c>
      <c r="C26" s="9" t="s">
        <v>35</v>
      </c>
      <c r="D26" s="9"/>
    </row>
    <row r="27" spans="2:4" ht="57.75" customHeight="1" x14ac:dyDescent="0.45">
      <c r="B27" s="29" t="s">
        <v>36</v>
      </c>
      <c r="C27" s="9" t="s">
        <v>37</v>
      </c>
      <c r="D27" s="9"/>
    </row>
    <row r="28" spans="2:4" ht="12" customHeight="1" x14ac:dyDescent="0.45"/>
    <row r="29" spans="2:4" ht="24" customHeight="1" x14ac:dyDescent="0.45">
      <c r="B29" s="10" t="s">
        <v>38</v>
      </c>
      <c r="C29" s="10"/>
      <c r="D29" s="10"/>
    </row>
    <row r="30" spans="2:4" ht="51.75" customHeight="1" x14ac:dyDescent="0.45">
      <c r="B30" s="89" t="s">
        <v>39</v>
      </c>
      <c r="C30" s="87" t="s">
        <v>40</v>
      </c>
      <c r="D30" s="25" t="s">
        <v>41</v>
      </c>
    </row>
    <row r="31" spans="2:4" ht="51.75" customHeight="1" x14ac:dyDescent="0.45">
      <c r="B31" s="89" t="s">
        <v>42</v>
      </c>
      <c r="C31" s="87" t="s">
        <v>43</v>
      </c>
      <c r="D31" s="25" t="s">
        <v>44</v>
      </c>
    </row>
    <row r="32" spans="2:4" ht="51.75" customHeight="1" x14ac:dyDescent="0.45">
      <c r="B32" s="89" t="s">
        <v>45</v>
      </c>
      <c r="C32" s="87" t="s">
        <v>46</v>
      </c>
      <c r="D32" s="25" t="s">
        <v>47</v>
      </c>
    </row>
    <row r="33" spans="2:4" ht="51.75" customHeight="1" x14ac:dyDescent="0.45">
      <c r="B33" s="89" t="s">
        <v>48</v>
      </c>
      <c r="C33" s="87" t="s">
        <v>49</v>
      </c>
      <c r="D33" s="25" t="s">
        <v>50</v>
      </c>
    </row>
    <row r="34" spans="2:4" ht="51.75" customHeight="1" x14ac:dyDescent="0.45">
      <c r="B34" s="89" t="s">
        <v>51</v>
      </c>
      <c r="C34" s="87" t="s">
        <v>52</v>
      </c>
      <c r="D34" s="25" t="s">
        <v>53</v>
      </c>
    </row>
    <row r="35" spans="2:4" ht="12" customHeight="1" x14ac:dyDescent="0.45"/>
    <row r="36" spans="2:4" ht="30" customHeight="1" x14ac:dyDescent="0.45">
      <c r="B36" s="6" t="s">
        <v>54</v>
      </c>
      <c r="C36" s="6"/>
      <c r="D36" s="6"/>
    </row>
  </sheetData>
  <mergeCells count="21">
    <mergeCell ref="B36:D36"/>
    <mergeCell ref="C24:D24"/>
    <mergeCell ref="C25:D25"/>
    <mergeCell ref="C26:D26"/>
    <mergeCell ref="C27:D27"/>
    <mergeCell ref="B29:D29"/>
    <mergeCell ref="C13:D13"/>
    <mergeCell ref="B15:D15"/>
    <mergeCell ref="C16:D16"/>
    <mergeCell ref="B22:D22"/>
    <mergeCell ref="C23:D23"/>
    <mergeCell ref="C8:D8"/>
    <mergeCell ref="C9:D9"/>
    <mergeCell ref="C10:D10"/>
    <mergeCell ref="C11:D11"/>
    <mergeCell ref="C12:D12"/>
    <mergeCell ref="A1:E1"/>
    <mergeCell ref="A2:E2"/>
    <mergeCell ref="B4:D4"/>
    <mergeCell ref="B5:D5"/>
    <mergeCell ref="B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8"/>
  <sheetViews>
    <sheetView showGridLines="0" zoomScaleNormal="100" workbookViewId="0">
      <pane ySplit="3" topLeftCell="A4" activePane="bottomLeft" state="frozen"/>
      <selection pane="bottomLeft" sqref="A1:G1"/>
    </sheetView>
  </sheetViews>
  <sheetFormatPr defaultColWidth="8.6640625" defaultRowHeight="14.25" x14ac:dyDescent="0.45"/>
  <cols>
    <col min="1" max="1" width="40" customWidth="1"/>
    <col min="2" max="2" width="13" customWidth="1"/>
    <col min="3" max="3" width="38" customWidth="1"/>
    <col min="4" max="4" width="2" customWidth="1"/>
    <col min="5" max="5" width="40" customWidth="1"/>
    <col min="6" max="6" width="13" customWidth="1"/>
    <col min="7" max="7" width="38" customWidth="1"/>
  </cols>
  <sheetData>
    <row r="1" spans="1:7" ht="37.5" customHeight="1" x14ac:dyDescent="0.45">
      <c r="A1" s="5" t="s">
        <v>55</v>
      </c>
      <c r="B1" s="5"/>
      <c r="C1" s="5"/>
      <c r="D1" s="5"/>
      <c r="E1" s="5"/>
      <c r="F1" s="5"/>
      <c r="G1" s="5"/>
    </row>
    <row r="2" spans="1:7" ht="19.5" customHeight="1" x14ac:dyDescent="0.45">
      <c r="A2" s="4" t="s">
        <v>56</v>
      </c>
      <c r="B2" s="4"/>
      <c r="C2" s="4"/>
      <c r="D2" s="4"/>
      <c r="E2" s="4"/>
      <c r="F2" s="4"/>
      <c r="G2" s="4"/>
    </row>
    <row r="3" spans="1:7" ht="25.5" customHeight="1" x14ac:dyDescent="0.45">
      <c r="A3" s="31" t="s">
        <v>57</v>
      </c>
      <c r="B3" s="31" t="s">
        <v>58</v>
      </c>
      <c r="C3" s="31" t="s">
        <v>59</v>
      </c>
      <c r="E3" s="31" t="s">
        <v>57</v>
      </c>
      <c r="F3" s="31" t="s">
        <v>58</v>
      </c>
      <c r="G3" s="31" t="s">
        <v>59</v>
      </c>
    </row>
    <row r="4" spans="1:7" ht="21.75" customHeight="1" x14ac:dyDescent="0.45">
      <c r="A4" s="3" t="s">
        <v>60</v>
      </c>
      <c r="B4" s="3"/>
      <c r="C4" s="3"/>
      <c r="E4" s="2" t="s">
        <v>61</v>
      </c>
      <c r="F4" s="2"/>
      <c r="G4" s="2"/>
    </row>
    <row r="5" spans="1:7" ht="31.5" customHeight="1" x14ac:dyDescent="0.45">
      <c r="A5" s="23" t="s">
        <v>62</v>
      </c>
      <c r="B5" s="32">
        <v>100</v>
      </c>
      <c r="C5" s="33" t="s">
        <v>63</v>
      </c>
      <c r="E5" s="23" t="s">
        <v>64</v>
      </c>
      <c r="F5" s="34">
        <v>20</v>
      </c>
      <c r="G5" s="33" t="s">
        <v>65</v>
      </c>
    </row>
    <row r="6" spans="1:7" ht="31.5" customHeight="1" x14ac:dyDescent="0.45">
      <c r="A6" s="23" t="s">
        <v>66</v>
      </c>
      <c r="B6" s="32">
        <v>15</v>
      </c>
      <c r="C6" s="33" t="s">
        <v>67</v>
      </c>
      <c r="E6" s="23" t="s">
        <v>68</v>
      </c>
      <c r="F6" s="34">
        <v>25</v>
      </c>
      <c r="G6" s="33" t="s">
        <v>69</v>
      </c>
    </row>
    <row r="7" spans="1:7" ht="31.5" customHeight="1" x14ac:dyDescent="0.45">
      <c r="A7" s="23" t="s">
        <v>70</v>
      </c>
      <c r="B7" s="32">
        <v>8</v>
      </c>
      <c r="C7" s="33" t="s">
        <v>71</v>
      </c>
      <c r="E7" s="23" t="s">
        <v>72</v>
      </c>
      <c r="F7" s="35">
        <v>0.02</v>
      </c>
      <c r="G7" s="33" t="s">
        <v>73</v>
      </c>
    </row>
    <row r="8" spans="1:7" ht="31.5" customHeight="1" x14ac:dyDescent="0.45">
      <c r="A8" s="23" t="s">
        <v>74</v>
      </c>
      <c r="B8" s="32">
        <v>2</v>
      </c>
      <c r="C8" s="33" t="s">
        <v>75</v>
      </c>
      <c r="E8" s="23" t="s">
        <v>76</v>
      </c>
      <c r="F8" s="34">
        <v>0</v>
      </c>
      <c r="G8" s="33" t="s">
        <v>77</v>
      </c>
    </row>
    <row r="9" spans="1:7" ht="31.5" customHeight="1" x14ac:dyDescent="0.45">
      <c r="E9" s="23" t="s">
        <v>78</v>
      </c>
      <c r="F9" s="34">
        <v>20</v>
      </c>
      <c r="G9" s="33" t="s">
        <v>79</v>
      </c>
    </row>
    <row r="10" spans="1:7" ht="21.75" customHeight="1" x14ac:dyDescent="0.45">
      <c r="A10" s="3" t="s">
        <v>80</v>
      </c>
      <c r="B10" s="3"/>
      <c r="C10" s="3"/>
      <c r="E10" s="23" t="s">
        <v>81</v>
      </c>
      <c r="F10" s="34">
        <v>26</v>
      </c>
      <c r="G10" s="33" t="s">
        <v>82</v>
      </c>
    </row>
    <row r="11" spans="1:7" ht="19.5" customHeight="1" x14ac:dyDescent="0.45">
      <c r="A11" s="23" t="s">
        <v>83</v>
      </c>
      <c r="B11" s="34">
        <v>19</v>
      </c>
      <c r="C11" s="36"/>
      <c r="E11" s="23" t="s">
        <v>84</v>
      </c>
      <c r="F11" s="34">
        <v>4</v>
      </c>
      <c r="G11" s="33" t="s">
        <v>85</v>
      </c>
    </row>
    <row r="12" spans="1:7" ht="31.5" customHeight="1" x14ac:dyDescent="0.45">
      <c r="A12" s="23" t="s">
        <v>86</v>
      </c>
      <c r="B12" s="34">
        <v>49</v>
      </c>
      <c r="C12" s="36"/>
      <c r="E12" s="23" t="s">
        <v>87</v>
      </c>
      <c r="F12" s="34">
        <v>2</v>
      </c>
      <c r="G12" s="33" t="s">
        <v>88</v>
      </c>
    </row>
    <row r="13" spans="1:7" ht="31.5" customHeight="1" x14ac:dyDescent="0.45">
      <c r="A13" s="23" t="s">
        <v>89</v>
      </c>
      <c r="B13" s="34">
        <v>149</v>
      </c>
      <c r="C13" s="36"/>
      <c r="E13" s="23" t="s">
        <v>90</v>
      </c>
      <c r="F13" s="37">
        <v>2.9000000000000001E-2</v>
      </c>
      <c r="G13" s="33" t="s">
        <v>91</v>
      </c>
    </row>
    <row r="14" spans="1:7" ht="31.5" customHeight="1" x14ac:dyDescent="0.45">
      <c r="A14" s="23" t="s">
        <v>92</v>
      </c>
      <c r="B14" s="37">
        <v>0.15</v>
      </c>
      <c r="C14" s="33" t="s">
        <v>93</v>
      </c>
      <c r="E14" s="23" t="s">
        <v>94</v>
      </c>
      <c r="F14" s="35">
        <v>0.3</v>
      </c>
      <c r="G14" s="33" t="s">
        <v>95</v>
      </c>
    </row>
    <row r="15" spans="1:7" ht="31.5" customHeight="1" x14ac:dyDescent="0.45">
      <c r="A15" s="23" t="s">
        <v>96</v>
      </c>
      <c r="B15" s="37">
        <v>0.12</v>
      </c>
      <c r="C15" s="33" t="s">
        <v>97</v>
      </c>
      <c r="E15" s="23" t="s">
        <v>98</v>
      </c>
      <c r="F15" s="34">
        <v>10</v>
      </c>
      <c r="G15" s="33" t="s">
        <v>99</v>
      </c>
    </row>
    <row r="16" spans="1:7" ht="31.5" customHeight="1" x14ac:dyDescent="0.45">
      <c r="A16" s="23" t="s">
        <v>100</v>
      </c>
      <c r="B16" s="37">
        <v>0.2</v>
      </c>
      <c r="C16" s="33" t="s">
        <v>101</v>
      </c>
      <c r="E16" s="23" t="s">
        <v>102</v>
      </c>
      <c r="F16" s="34">
        <v>25</v>
      </c>
      <c r="G16" s="33" t="s">
        <v>103</v>
      </c>
    </row>
    <row r="17" spans="1:7" ht="31.5" customHeight="1" x14ac:dyDescent="0.45">
      <c r="A17" s="23" t="s">
        <v>104</v>
      </c>
      <c r="B17" s="37">
        <v>0.35</v>
      </c>
      <c r="C17" s="33" t="s">
        <v>105</v>
      </c>
    </row>
    <row r="18" spans="1:7" ht="19.5" customHeight="1" x14ac:dyDescent="0.45"/>
    <row r="19" spans="1:7" ht="21.75" customHeight="1" x14ac:dyDescent="0.45">
      <c r="A19" s="3" t="s">
        <v>106</v>
      </c>
      <c r="B19" s="3"/>
      <c r="C19" s="3"/>
      <c r="E19" s="1" t="s">
        <v>107</v>
      </c>
      <c r="F19" s="1"/>
      <c r="G19" s="1"/>
    </row>
    <row r="20" spans="1:7" ht="31.5" customHeight="1" x14ac:dyDescent="0.45">
      <c r="A20" s="23" t="s">
        <v>108</v>
      </c>
      <c r="B20" s="35">
        <v>0.1</v>
      </c>
      <c r="C20" s="33" t="s">
        <v>109</v>
      </c>
      <c r="E20" s="23" t="s">
        <v>110</v>
      </c>
      <c r="F20" s="34">
        <v>15</v>
      </c>
      <c r="G20" s="33" t="s">
        <v>111</v>
      </c>
    </row>
    <row r="21" spans="1:7" ht="31.5" customHeight="1" x14ac:dyDescent="0.45">
      <c r="A21" s="23" t="s">
        <v>112</v>
      </c>
      <c r="B21" s="32">
        <v>50</v>
      </c>
      <c r="C21" s="33" t="s">
        <v>113</v>
      </c>
      <c r="E21" s="23" t="s">
        <v>114</v>
      </c>
      <c r="F21" s="32">
        <v>3</v>
      </c>
      <c r="G21" s="33" t="s">
        <v>115</v>
      </c>
    </row>
    <row r="22" spans="1:7" ht="31.5" customHeight="1" x14ac:dyDescent="0.45">
      <c r="A22" s="23" t="s">
        <v>116</v>
      </c>
      <c r="B22" s="32">
        <v>1500</v>
      </c>
      <c r="C22" s="33" t="s">
        <v>117</v>
      </c>
      <c r="E22" s="23" t="s">
        <v>118</v>
      </c>
      <c r="F22" s="37">
        <v>0.08</v>
      </c>
      <c r="G22" s="33" t="s">
        <v>119</v>
      </c>
    </row>
    <row r="23" spans="1:7" ht="31.5" customHeight="1" x14ac:dyDescent="0.45">
      <c r="A23" s="23" t="s">
        <v>120</v>
      </c>
      <c r="B23" s="32">
        <v>6000</v>
      </c>
      <c r="C23" s="33" t="s">
        <v>121</v>
      </c>
      <c r="E23" s="23" t="s">
        <v>122</v>
      </c>
      <c r="F23" s="37">
        <v>0.2</v>
      </c>
      <c r="G23" s="33" t="s">
        <v>123</v>
      </c>
    </row>
    <row r="24" spans="1:7" ht="31.5" customHeight="1" x14ac:dyDescent="0.45">
      <c r="A24" s="23" t="s">
        <v>124</v>
      </c>
      <c r="B24" s="32">
        <v>25000</v>
      </c>
      <c r="C24" s="33" t="s">
        <v>125</v>
      </c>
      <c r="E24" s="23" t="s">
        <v>126</v>
      </c>
      <c r="F24" s="37">
        <v>0.15</v>
      </c>
      <c r="G24" s="33" t="s">
        <v>127</v>
      </c>
    </row>
    <row r="25" spans="1:7" ht="19.5" customHeight="1" x14ac:dyDescent="0.45">
      <c r="A25" s="23" t="s">
        <v>128</v>
      </c>
      <c r="B25" s="34">
        <v>9</v>
      </c>
      <c r="C25" s="33"/>
      <c r="E25" s="23" t="s">
        <v>129</v>
      </c>
      <c r="F25" s="37">
        <v>0.5</v>
      </c>
      <c r="G25" s="33" t="s">
        <v>130</v>
      </c>
    </row>
    <row r="26" spans="1:7" ht="31.5" customHeight="1" x14ac:dyDescent="0.45">
      <c r="A26" s="23" t="s">
        <v>131</v>
      </c>
      <c r="B26" s="35">
        <v>0.1</v>
      </c>
      <c r="C26" s="33" t="s">
        <v>132</v>
      </c>
      <c r="E26" s="23" t="s">
        <v>133</v>
      </c>
      <c r="F26" s="37">
        <v>0.4</v>
      </c>
      <c r="G26" s="33" t="s">
        <v>134</v>
      </c>
    </row>
    <row r="27" spans="1:7" ht="19.5" customHeight="1" x14ac:dyDescent="0.45">
      <c r="A27" s="23" t="s">
        <v>135</v>
      </c>
      <c r="B27" s="34">
        <v>39</v>
      </c>
      <c r="C27" s="33"/>
      <c r="E27" s="23" t="s">
        <v>136</v>
      </c>
      <c r="F27" s="37">
        <v>0.3</v>
      </c>
      <c r="G27" s="33" t="s">
        <v>137</v>
      </c>
    </row>
    <row r="28" spans="1:7" ht="19.5" customHeight="1" x14ac:dyDescent="0.45">
      <c r="A28" s="23" t="s">
        <v>138</v>
      </c>
      <c r="B28" s="35">
        <v>0.5</v>
      </c>
      <c r="C28" s="33"/>
      <c r="E28" s="23" t="s">
        <v>139</v>
      </c>
      <c r="F28" s="37">
        <v>0.25</v>
      </c>
      <c r="G28" s="33" t="s">
        <v>140</v>
      </c>
    </row>
    <row r="29" spans="1:7" ht="31.5" customHeight="1" x14ac:dyDescent="0.45">
      <c r="A29" s="23" t="s">
        <v>141</v>
      </c>
      <c r="B29" s="37">
        <v>0.05</v>
      </c>
      <c r="C29" s="33" t="s">
        <v>142</v>
      </c>
      <c r="E29" s="23" t="s">
        <v>143</v>
      </c>
      <c r="F29" s="37">
        <v>2.9000000000000001E-2</v>
      </c>
      <c r="G29" s="33" t="s">
        <v>144</v>
      </c>
    </row>
    <row r="30" spans="1:7" ht="19.5" customHeight="1" x14ac:dyDescent="0.45">
      <c r="A30" s="23" t="s">
        <v>145</v>
      </c>
      <c r="B30" s="37">
        <v>0.15</v>
      </c>
      <c r="C30" s="33" t="s">
        <v>146</v>
      </c>
    </row>
    <row r="31" spans="1:7" ht="19.5" customHeight="1" x14ac:dyDescent="0.45">
      <c r="A31" s="23" t="s">
        <v>147</v>
      </c>
      <c r="B31" s="37">
        <v>0.25</v>
      </c>
      <c r="C31" s="33" t="s">
        <v>148</v>
      </c>
    </row>
    <row r="32" spans="1:7" ht="19.5" customHeight="1" x14ac:dyDescent="0.45">
      <c r="A32" s="23" t="s">
        <v>149</v>
      </c>
      <c r="B32" s="34">
        <v>22</v>
      </c>
      <c r="C32" s="33" t="s">
        <v>150</v>
      </c>
      <c r="E32" s="77" t="s">
        <v>151</v>
      </c>
      <c r="F32" s="77"/>
      <c r="G32" s="77"/>
    </row>
    <row r="33" spans="1:7" ht="31.5" customHeight="1" x14ac:dyDescent="0.45">
      <c r="A33" s="23" t="s">
        <v>152</v>
      </c>
      <c r="B33" s="35">
        <v>0.3</v>
      </c>
      <c r="C33" s="33" t="s">
        <v>153</v>
      </c>
      <c r="E33" s="23" t="s">
        <v>154</v>
      </c>
      <c r="F33" s="34">
        <v>12</v>
      </c>
      <c r="G33" s="33" t="s">
        <v>155</v>
      </c>
    </row>
    <row r="34" spans="1:7" ht="31.5" customHeight="1" x14ac:dyDescent="0.45">
      <c r="E34" s="23" t="s">
        <v>156</v>
      </c>
      <c r="F34" s="34">
        <v>35</v>
      </c>
      <c r="G34" s="33" t="s">
        <v>157</v>
      </c>
    </row>
    <row r="35" spans="1:7" ht="21.75" customHeight="1" x14ac:dyDescent="0.45">
      <c r="A35" s="3" t="s">
        <v>158</v>
      </c>
      <c r="B35" s="3"/>
      <c r="C35" s="3"/>
      <c r="E35" s="23" t="s">
        <v>159</v>
      </c>
      <c r="F35" s="34">
        <v>15</v>
      </c>
      <c r="G35" s="33" t="s">
        <v>160</v>
      </c>
    </row>
    <row r="36" spans="1:7" ht="31.5" customHeight="1" x14ac:dyDescent="0.45">
      <c r="A36" s="23" t="s">
        <v>161</v>
      </c>
      <c r="B36" s="35">
        <v>1.4999999999999999E-2</v>
      </c>
      <c r="C36" s="33" t="s">
        <v>162</v>
      </c>
      <c r="E36" s="23" t="s">
        <v>163</v>
      </c>
      <c r="F36" s="34">
        <v>20</v>
      </c>
      <c r="G36" s="33" t="s">
        <v>164</v>
      </c>
    </row>
    <row r="37" spans="1:7" ht="31.5" customHeight="1" x14ac:dyDescent="0.45">
      <c r="A37" s="23" t="s">
        <v>165</v>
      </c>
      <c r="B37" s="38">
        <v>0.2</v>
      </c>
      <c r="C37" s="33" t="s">
        <v>166</v>
      </c>
      <c r="E37" s="23" t="s">
        <v>167</v>
      </c>
      <c r="F37" s="34">
        <v>99</v>
      </c>
      <c r="G37" s="33" t="s">
        <v>168</v>
      </c>
    </row>
    <row r="38" spans="1:7" ht="31.5" customHeight="1" x14ac:dyDescent="0.45">
      <c r="A38" s="23" t="s">
        <v>169</v>
      </c>
      <c r="B38" s="38">
        <v>1.5</v>
      </c>
      <c r="C38" s="33" t="s">
        <v>170</v>
      </c>
      <c r="E38" s="23" t="s">
        <v>171</v>
      </c>
      <c r="F38" s="37">
        <v>0.02</v>
      </c>
      <c r="G38" s="33" t="s">
        <v>172</v>
      </c>
    </row>
    <row r="39" spans="1:7" ht="19.5" customHeight="1" x14ac:dyDescent="0.45">
      <c r="A39" s="23" t="s">
        <v>173</v>
      </c>
      <c r="B39" s="38">
        <v>8</v>
      </c>
      <c r="C39" s="33" t="s">
        <v>174</v>
      </c>
      <c r="E39" s="23" t="s">
        <v>175</v>
      </c>
      <c r="F39" s="35">
        <v>0.5</v>
      </c>
      <c r="G39" s="33" t="s">
        <v>176</v>
      </c>
    </row>
    <row r="40" spans="1:7" ht="31.5" customHeight="1" x14ac:dyDescent="0.45">
      <c r="A40" s="23" t="s">
        <v>177</v>
      </c>
      <c r="B40" s="32">
        <v>50</v>
      </c>
      <c r="C40" s="33" t="s">
        <v>178</v>
      </c>
      <c r="E40" s="23" t="s">
        <v>179</v>
      </c>
      <c r="F40" s="34">
        <v>14</v>
      </c>
      <c r="G40" s="33" t="s">
        <v>180</v>
      </c>
    </row>
    <row r="41" spans="1:7" ht="31.5" customHeight="1" x14ac:dyDescent="0.45">
      <c r="A41" s="23" t="s">
        <v>181</v>
      </c>
      <c r="B41" s="34">
        <v>5</v>
      </c>
      <c r="C41" s="33" t="s">
        <v>182</v>
      </c>
      <c r="E41" s="23" t="s">
        <v>183</v>
      </c>
      <c r="F41" s="34">
        <v>0</v>
      </c>
      <c r="G41" s="33" t="s">
        <v>184</v>
      </c>
    </row>
    <row r="42" spans="1:7" ht="19.5" customHeight="1" x14ac:dyDescent="0.45">
      <c r="A42" s="23" t="s">
        <v>185</v>
      </c>
      <c r="B42" s="37">
        <v>0.02</v>
      </c>
      <c r="C42" s="33" t="s">
        <v>186</v>
      </c>
      <c r="E42" s="23" t="s">
        <v>187</v>
      </c>
      <c r="F42" s="34">
        <v>0</v>
      </c>
      <c r="G42" s="33" t="s">
        <v>184</v>
      </c>
    </row>
    <row r="43" spans="1:7" ht="19.5" customHeight="1" x14ac:dyDescent="0.45">
      <c r="A43" s="23" t="s">
        <v>188</v>
      </c>
      <c r="B43" s="37">
        <v>0.05</v>
      </c>
      <c r="C43" s="33"/>
    </row>
    <row r="44" spans="1:7" ht="19.5" customHeight="1" x14ac:dyDescent="0.45">
      <c r="A44" s="23" t="s">
        <v>189</v>
      </c>
      <c r="B44" s="37">
        <v>0.1</v>
      </c>
      <c r="C44" s="33" t="s">
        <v>190</v>
      </c>
    </row>
    <row r="45" spans="1:7" ht="19.5" customHeight="1" x14ac:dyDescent="0.45"/>
    <row r="46" spans="1:7" ht="19.5" customHeight="1" x14ac:dyDescent="0.45">
      <c r="E46" s="78" t="s">
        <v>191</v>
      </c>
      <c r="F46" s="78"/>
      <c r="G46" s="78"/>
    </row>
    <row r="47" spans="1:7" ht="31.5" customHeight="1" x14ac:dyDescent="0.45">
      <c r="E47" s="23" t="s">
        <v>192</v>
      </c>
      <c r="F47" s="37">
        <v>7.0000000000000007E-2</v>
      </c>
      <c r="G47" s="33" t="s">
        <v>193</v>
      </c>
    </row>
    <row r="48" spans="1:7" ht="19.5" customHeight="1" x14ac:dyDescent="0.45">
      <c r="E48" s="23" t="s">
        <v>194</v>
      </c>
      <c r="F48" s="37">
        <v>0.04</v>
      </c>
      <c r="G48" s="33" t="s">
        <v>195</v>
      </c>
    </row>
    <row r="49" spans="1:7" ht="19.5" customHeight="1" x14ac:dyDescent="0.45">
      <c r="E49" s="23" t="s">
        <v>196</v>
      </c>
      <c r="F49" s="37">
        <v>0.02</v>
      </c>
      <c r="G49" s="33" t="s">
        <v>197</v>
      </c>
    </row>
    <row r="50" spans="1:7" ht="19.5" customHeight="1" x14ac:dyDescent="0.45">
      <c r="E50" s="23" t="s">
        <v>198</v>
      </c>
      <c r="F50" s="32">
        <v>20</v>
      </c>
      <c r="G50" s="33" t="s">
        <v>199</v>
      </c>
    </row>
    <row r="51" spans="1:7" ht="19.5" customHeight="1" x14ac:dyDescent="0.45">
      <c r="E51" s="23" t="s">
        <v>200</v>
      </c>
      <c r="F51" s="37">
        <v>0.1</v>
      </c>
      <c r="G51" s="33" t="s">
        <v>201</v>
      </c>
    </row>
    <row r="52" spans="1:7" ht="19.5" customHeight="1" x14ac:dyDescent="0.45">
      <c r="E52" s="23" t="s">
        <v>202</v>
      </c>
      <c r="F52" s="37">
        <v>0.05</v>
      </c>
      <c r="G52" s="33" t="s">
        <v>203</v>
      </c>
    </row>
    <row r="53" spans="1:7" ht="19.5" customHeight="1" x14ac:dyDescent="0.45"/>
    <row r="54" spans="1:7" ht="19.5" customHeight="1" x14ac:dyDescent="0.45"/>
    <row r="55" spans="1:7" ht="21.75" customHeight="1" x14ac:dyDescent="0.45">
      <c r="A55" s="79" t="s">
        <v>204</v>
      </c>
      <c r="B55" s="79"/>
      <c r="C55" s="79"/>
    </row>
    <row r="56" spans="1:7" ht="21.75" customHeight="1" x14ac:dyDescent="0.45">
      <c r="A56" s="39" t="s">
        <v>205</v>
      </c>
    </row>
    <row r="57" spans="1:7" ht="19.5" customHeight="1" x14ac:dyDescent="0.45">
      <c r="A57" s="23" t="s">
        <v>206</v>
      </c>
    </row>
    <row r="58" spans="1:7" ht="19.5" customHeight="1" x14ac:dyDescent="0.45">
      <c r="A58" s="40" t="s">
        <v>207</v>
      </c>
    </row>
  </sheetData>
  <mergeCells count="11">
    <mergeCell ref="A55:C55"/>
    <mergeCell ref="A19:C19"/>
    <mergeCell ref="E19:G19"/>
    <mergeCell ref="E32:G32"/>
    <mergeCell ref="A35:C35"/>
    <mergeCell ref="E46:G46"/>
    <mergeCell ref="A1:G1"/>
    <mergeCell ref="A2:G2"/>
    <mergeCell ref="A4:C4"/>
    <mergeCell ref="E4:G4"/>
    <mergeCell ref="A10:C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showGridLines="0" zoomScaleNormal="100" workbookViewId="0">
      <selection sqref="A1:G1"/>
    </sheetView>
  </sheetViews>
  <sheetFormatPr defaultColWidth="8.6640625" defaultRowHeight="14.25" x14ac:dyDescent="0.45"/>
  <cols>
    <col min="1" max="1" width="46" customWidth="1"/>
    <col min="2" max="5" width="11" customWidth="1"/>
    <col min="6" max="6" width="13" customWidth="1"/>
    <col min="7" max="7" width="38" customWidth="1"/>
  </cols>
  <sheetData>
    <row r="1" spans="1:7" ht="37.5" customHeight="1" x14ac:dyDescent="0.45">
      <c r="A1" s="80" t="s">
        <v>208</v>
      </c>
      <c r="B1" s="80"/>
      <c r="C1" s="80"/>
      <c r="D1" s="80"/>
      <c r="E1" s="80"/>
      <c r="F1" s="80"/>
      <c r="G1" s="80"/>
    </row>
    <row r="2" spans="1:7" ht="19.5" customHeight="1" x14ac:dyDescent="0.45">
      <c r="A2" s="4" t="s">
        <v>209</v>
      </c>
      <c r="B2" s="4"/>
      <c r="C2" s="4"/>
      <c r="D2" s="4"/>
      <c r="E2" s="4"/>
      <c r="F2" s="4"/>
      <c r="G2" s="4"/>
    </row>
    <row r="3" spans="1:7" ht="27.75" customHeight="1" x14ac:dyDescent="0.45">
      <c r="A3" s="41" t="s">
        <v>210</v>
      </c>
      <c r="B3" s="31" t="s">
        <v>211</v>
      </c>
      <c r="C3" s="31" t="s">
        <v>212</v>
      </c>
      <c r="D3" s="31" t="s">
        <v>213</v>
      </c>
      <c r="E3" s="31" t="s">
        <v>214</v>
      </c>
      <c r="F3" s="31" t="s">
        <v>215</v>
      </c>
      <c r="G3" s="42" t="s">
        <v>216</v>
      </c>
    </row>
    <row r="4" spans="1:7" ht="21.75" customHeight="1" x14ac:dyDescent="0.45">
      <c r="A4" s="3" t="s">
        <v>217</v>
      </c>
      <c r="B4" s="3"/>
      <c r="C4" s="3"/>
      <c r="D4" s="3"/>
      <c r="E4" s="3"/>
      <c r="F4" s="3"/>
      <c r="G4" s="3"/>
    </row>
    <row r="5" spans="1:7" ht="19.5" customHeight="1" x14ac:dyDescent="0.45">
      <c r="A5" s="43" t="s">
        <v>218</v>
      </c>
      <c r="B5" s="44">
        <f>0</f>
        <v>0</v>
      </c>
      <c r="C5" s="45">
        <f>ROUND(ASSUMPTIONS!B6*(1-ASSUMPTIONS!B15),0)</f>
        <v>13</v>
      </c>
      <c r="D5" s="45">
        <f>ROUND(ASSUMPTIONS!B7*(1-ASSUMPTIONS!B16),0)</f>
        <v>6</v>
      </c>
      <c r="E5" s="45">
        <f>ROUND(ASSUMPTIONS!B8*(1-ASSUMPTIONS!B17),0)</f>
        <v>1</v>
      </c>
      <c r="G5" s="33" t="s">
        <v>219</v>
      </c>
    </row>
    <row r="6" spans="1:7" ht="19.5" customHeight="1" x14ac:dyDescent="0.45">
      <c r="A6" s="43" t="s">
        <v>220</v>
      </c>
      <c r="B6" s="44">
        <f>0</f>
        <v>0</v>
      </c>
      <c r="C6" s="45">
        <f>ROUND(ASSUMPTIONS!B6*ASSUMPTIONS!B15,0)</f>
        <v>2</v>
      </c>
      <c r="D6" s="45">
        <f>ROUND(ASSUMPTIONS!B7*ASSUMPTIONS!B16,0)</f>
        <v>2</v>
      </c>
      <c r="E6" s="45">
        <f>ROUND(ASSUMPTIONS!B8*ASSUMPTIONS!B17,0)</f>
        <v>1</v>
      </c>
      <c r="G6" s="33" t="s">
        <v>221</v>
      </c>
    </row>
    <row r="7" spans="1:7" ht="19.5" customHeight="1" x14ac:dyDescent="0.45">
      <c r="A7" s="43" t="s">
        <v>222</v>
      </c>
      <c r="B7" s="44">
        <v>0</v>
      </c>
      <c r="C7" s="46">
        <f>ROUND(ASSUMPTIONS!B6*(1-ASSUMPTIONS!B15)*ASSUMPTIONS!B11,2)</f>
        <v>250.8</v>
      </c>
      <c r="D7" s="46">
        <f>ROUND(ASSUMPTIONS!B7*(1-ASSUMPTIONS!B16)*ASSUMPTIONS!B12,2)</f>
        <v>313.60000000000002</v>
      </c>
      <c r="E7" s="46">
        <f>ROUND(ASSUMPTIONS!B8*(1-ASSUMPTIONS!B17)*ASSUMPTIONS!B13,2)</f>
        <v>193.7</v>
      </c>
      <c r="G7" s="33"/>
    </row>
    <row r="8" spans="1:7" ht="19.5" customHeight="1" x14ac:dyDescent="0.45">
      <c r="A8" s="43" t="s">
        <v>223</v>
      </c>
      <c r="B8" s="44">
        <f>0</f>
        <v>0</v>
      </c>
      <c r="C8" s="46">
        <f>ROUND(ASSUMPTIONS!B6*ASSUMPTIONS!B15*ASSUMPTIONS!B11*(1-ASSUMPTIONS!B14),2)</f>
        <v>29.07</v>
      </c>
      <c r="D8" s="46">
        <f>ROUND(ASSUMPTIONS!B7*ASSUMPTIONS!B16*ASSUMPTIONS!B12*(1-ASSUMPTIONS!B14),2)</f>
        <v>66.64</v>
      </c>
      <c r="E8" s="46">
        <f>ROUND(ASSUMPTIONS!B8*ASSUMPTIONS!B17*ASSUMPTIONS!B13*(1-ASSUMPTIONS!B14),2)</f>
        <v>88.66</v>
      </c>
      <c r="G8" s="33"/>
    </row>
    <row r="9" spans="1:7" ht="21.75" customHeight="1" x14ac:dyDescent="0.45">
      <c r="A9" s="47" t="s">
        <v>224</v>
      </c>
      <c r="B9" s="48">
        <f>0</f>
        <v>0</v>
      </c>
      <c r="C9" s="49">
        <f>ROUND(ASSUMPTIONS!B6*(1-ASSUMPTIONS!B15)*ASSUMPTIONS!B11+ASSUMPTIONS!B6*ASSUMPTIONS!B15*ASSUMPTIONS!B11*(1-ASSUMPTIONS!B14),2)</f>
        <v>279.87</v>
      </c>
      <c r="D9" s="49">
        <f>ROUND(ASSUMPTIONS!B7*(1-ASSUMPTIONS!B16)*ASSUMPTIONS!B12+ASSUMPTIONS!B7*ASSUMPTIONS!B16*ASSUMPTIONS!B12*(1-ASSUMPTIONS!B14),2)</f>
        <v>380.24</v>
      </c>
      <c r="E9" s="49">
        <f>ROUND(ASSUMPTIONS!B8*(1-ASSUMPTIONS!B17)*ASSUMPTIONS!B13+ASSUMPTIONS!B8*ASSUMPTIONS!B17*ASSUMPTIONS!B13*(1-ASSUMPTIONS!B14),2)</f>
        <v>282.36</v>
      </c>
      <c r="F9" s="49">
        <f>SUM(B9:E9)</f>
        <v>942.47</v>
      </c>
      <c r="G9" s="33" t="s">
        <v>225</v>
      </c>
    </row>
    <row r="10" spans="1:7" ht="19.5" customHeight="1" x14ac:dyDescent="0.45"/>
    <row r="11" spans="1:7" ht="21.75" customHeight="1" x14ac:dyDescent="0.45">
      <c r="A11" s="81" t="s">
        <v>226</v>
      </c>
      <c r="B11" s="81"/>
      <c r="C11" s="81"/>
      <c r="D11" s="81"/>
      <c r="E11" s="81"/>
      <c r="F11" s="81"/>
      <c r="G11" s="81"/>
    </row>
    <row r="12" spans="1:7" ht="19.5" customHeight="1" x14ac:dyDescent="0.45">
      <c r="A12" s="43" t="s">
        <v>227</v>
      </c>
      <c r="B12" s="50">
        <f>0</f>
        <v>0</v>
      </c>
      <c r="C12" s="45">
        <f>ROUND(ASSUMPTIONS!B6*ASSUMPTIONS!B29,1)</f>
        <v>0.8</v>
      </c>
      <c r="D12" s="50">
        <f>0</f>
        <v>0</v>
      </c>
      <c r="E12" s="50">
        <f>0</f>
        <v>0</v>
      </c>
      <c r="G12" s="33"/>
    </row>
    <row r="13" spans="1:7" ht="19.5" customHeight="1" x14ac:dyDescent="0.45">
      <c r="A13" s="43" t="s">
        <v>228</v>
      </c>
      <c r="B13" s="50">
        <f>0</f>
        <v>0</v>
      </c>
      <c r="C13" s="50">
        <f>0</f>
        <v>0</v>
      </c>
      <c r="D13" s="45">
        <f>ROUND(ASSUMPTIONS!B7*ASSUMPTIONS!B30,1)</f>
        <v>1.2</v>
      </c>
      <c r="E13" s="50">
        <f>0</f>
        <v>0</v>
      </c>
      <c r="G13" s="33"/>
    </row>
    <row r="14" spans="1:7" ht="19.5" customHeight="1" x14ac:dyDescent="0.45">
      <c r="A14" s="43" t="s">
        <v>229</v>
      </c>
      <c r="B14" s="50">
        <f>0</f>
        <v>0</v>
      </c>
      <c r="C14" s="50">
        <f>0</f>
        <v>0</v>
      </c>
      <c r="D14" s="50">
        <f>0</f>
        <v>0</v>
      </c>
      <c r="E14" s="45">
        <f>ROUND(ASSUMPTIONS!B8*ASSUMPTIONS!B31,1)</f>
        <v>0.5</v>
      </c>
      <c r="G14" s="33"/>
    </row>
    <row r="15" spans="1:7" ht="21.75" customHeight="1" x14ac:dyDescent="0.45">
      <c r="A15" s="47" t="s">
        <v>230</v>
      </c>
      <c r="B15" s="48">
        <f>0</f>
        <v>0</v>
      </c>
      <c r="C15" s="49">
        <f>ROUND(ASSUMPTIONS!B6*ASSUMPTIONS!B29*ASSUMPTIONS!B32,2)</f>
        <v>16.5</v>
      </c>
      <c r="D15" s="49">
        <f>ROUND(ASSUMPTIONS!B7*ASSUMPTIONS!B30*ASSUMPTIONS!B32,2)</f>
        <v>26.4</v>
      </c>
      <c r="E15" s="49">
        <f>ROUND(ASSUMPTIONS!B8*ASSUMPTIONS!B31*ASSUMPTIONS!B32,2)</f>
        <v>11</v>
      </c>
      <c r="F15" s="49">
        <f>SUM(B15:E15)</f>
        <v>53.9</v>
      </c>
      <c r="G15" s="33" t="s">
        <v>231</v>
      </c>
    </row>
    <row r="16" spans="1:7" ht="19.5" customHeight="1" x14ac:dyDescent="0.45"/>
    <row r="17" spans="1:7" ht="21.75" customHeight="1" x14ac:dyDescent="0.45">
      <c r="A17" s="82" t="s">
        <v>232</v>
      </c>
      <c r="B17" s="82"/>
      <c r="C17" s="82"/>
      <c r="D17" s="82"/>
      <c r="E17" s="82"/>
      <c r="F17" s="82"/>
      <c r="G17" s="82"/>
    </row>
    <row r="18" spans="1:7" ht="21.75" customHeight="1" x14ac:dyDescent="0.45">
      <c r="A18" s="47" t="s">
        <v>233</v>
      </c>
      <c r="B18" s="48">
        <f>0</f>
        <v>0</v>
      </c>
      <c r="C18" s="49">
        <f>ROUND(ASSUMPTIONS!B6*ASSUMPTIONS!B42*ASSUMPTIONS!B41,2)</f>
        <v>1.5</v>
      </c>
      <c r="D18" s="49">
        <f>ROUND(ASSUMPTIONS!B7*ASSUMPTIONS!B43*ASSUMPTIONS!B41,2)</f>
        <v>2</v>
      </c>
      <c r="E18" s="49">
        <f>ROUND(ASSUMPTIONS!B8*ASSUMPTIONS!B44*ASSUMPTIONS!B41,2)</f>
        <v>1</v>
      </c>
      <c r="F18" s="49">
        <f>SUM(B18:E18)</f>
        <v>4.5</v>
      </c>
      <c r="G18" s="33" t="s">
        <v>234</v>
      </c>
    </row>
    <row r="19" spans="1:7" ht="19.5" customHeight="1" x14ac:dyDescent="0.45"/>
    <row r="20" spans="1:7" ht="21.75" customHeight="1" x14ac:dyDescent="0.45">
      <c r="A20" s="1" t="s">
        <v>235</v>
      </c>
      <c r="B20" s="1"/>
      <c r="C20" s="1"/>
      <c r="D20" s="1"/>
      <c r="E20" s="1"/>
      <c r="F20" s="1"/>
      <c r="G20" s="1"/>
    </row>
    <row r="21" spans="1:7" ht="19.5" customHeight="1" x14ac:dyDescent="0.45">
      <c r="A21" s="43" t="s">
        <v>236</v>
      </c>
      <c r="B21" s="44">
        <v>0</v>
      </c>
      <c r="C21" s="46">
        <f>ROUND(ASSUMPTIONS!B6*ASSUMPTIONS!F22*ASSUMPTIONS!F21*ASSUMPTIONS!F20,2)</f>
        <v>54</v>
      </c>
      <c r="D21" s="46">
        <f>ROUND(ASSUMPTIONS!B7*ASSUMPTIONS!F23*ASSUMPTIONS!F21*ASSUMPTIONS!F20,2)</f>
        <v>72</v>
      </c>
      <c r="E21" s="46">
        <f>ROUND(ASSUMPTIONS!B8*ASSUMPTIONS!F24*ASSUMPTIONS!F21*ASSUMPTIONS!F20,2)</f>
        <v>13.5</v>
      </c>
      <c r="F21" s="51">
        <f>SUM(B21:E21)</f>
        <v>139.5</v>
      </c>
      <c r="G21" s="33" t="s">
        <v>237</v>
      </c>
    </row>
    <row r="22" spans="1:7" ht="21.75" customHeight="1" x14ac:dyDescent="0.45">
      <c r="A22" s="47" t="s">
        <v>238</v>
      </c>
      <c r="B22" s="52">
        <v>0</v>
      </c>
      <c r="C22" s="53">
        <f>ROUND(C21*ASSUMPTIONS!F26*(1-ASSUMPTIONS!F29),2)</f>
        <v>20.97</v>
      </c>
      <c r="D22" s="53">
        <f>ROUND(D21*ASSUMPTIONS!F27*(1-ASSUMPTIONS!F29),2)</f>
        <v>20.97</v>
      </c>
      <c r="E22" s="53">
        <f>ROUND(E21*ASSUMPTIONS!F28*(1-ASSUMPTIONS!F29),2)</f>
        <v>3.28</v>
      </c>
      <c r="F22" s="49">
        <f>SUM(B22:E22)</f>
        <v>45.22</v>
      </c>
      <c r="G22" s="33" t="s">
        <v>239</v>
      </c>
    </row>
    <row r="23" spans="1:7" ht="19.5" customHeight="1" x14ac:dyDescent="0.45"/>
    <row r="24" spans="1:7" ht="21.75" customHeight="1" x14ac:dyDescent="0.45">
      <c r="A24" s="77" t="s">
        <v>240</v>
      </c>
      <c r="B24" s="77"/>
      <c r="C24" s="77"/>
      <c r="D24" s="77"/>
      <c r="E24" s="77"/>
      <c r="F24" s="77"/>
      <c r="G24" s="77"/>
    </row>
    <row r="25" spans="1:7" ht="30.4" customHeight="1" x14ac:dyDescent="0.45">
      <c r="A25" s="47" t="s">
        <v>241</v>
      </c>
      <c r="B25" s="48">
        <f>0</f>
        <v>0</v>
      </c>
      <c r="C25" s="48">
        <f>0</f>
        <v>0</v>
      </c>
      <c r="D25" s="48">
        <f>0</f>
        <v>0</v>
      </c>
      <c r="E25" s="48">
        <f>0</f>
        <v>0</v>
      </c>
      <c r="F25" s="49">
        <f>ROUND((ASSUMPTIONS!B6+ASSUMPTIONS!B7+ASSUMPTIONS!B8)*ASSUMPTIONS!F38*((ASSUMPTIONS!F33*0.4)+(ASSUMPTIONS!F34*0.3)+(ASSUMPTIONS!F35*0.2)+(ASSUMPTIONS!F36*0.1)),2)</f>
        <v>10.15</v>
      </c>
      <c r="G25" s="33" t="s">
        <v>242</v>
      </c>
    </row>
    <row r="26" spans="1:7" ht="31.5" customHeight="1" x14ac:dyDescent="0.45">
      <c r="A26" s="43" t="s">
        <v>243</v>
      </c>
      <c r="F26" s="54">
        <f>ROUND((ASSUMPTIONS!B6+ASSUMPTIONS!B7+ASSUMPTIONS!B8)*ASSUMPTIONS!F38*((ASSUMPTIONS!F39*0.4)+(ASSUMPTIONS!F40*0.3)+(ASSUMPTIONS!F41*0.2)+(ASSUMPTIONS!F42*0.1)),2)</f>
        <v>2.2000000000000002</v>
      </c>
      <c r="G26" s="33" t="s">
        <v>244</v>
      </c>
    </row>
    <row r="27" spans="1:7" ht="21.75" customHeight="1" x14ac:dyDescent="0.45">
      <c r="A27" s="47" t="s">
        <v>245</v>
      </c>
      <c r="F27" s="55">
        <f>F25-F26</f>
        <v>7.95</v>
      </c>
      <c r="G27" s="33"/>
    </row>
    <row r="28" spans="1:7" ht="19.5" customHeight="1" x14ac:dyDescent="0.45"/>
    <row r="29" spans="1:7" ht="21.75" customHeight="1" x14ac:dyDescent="0.45">
      <c r="A29" s="10" t="s">
        <v>246</v>
      </c>
      <c r="B29" s="10"/>
      <c r="C29" s="10"/>
      <c r="D29" s="10"/>
      <c r="E29" s="10"/>
      <c r="F29" s="56">
        <f>ROUND(F9+F15+F18+F22+F27,2)</f>
        <v>1054.04</v>
      </c>
      <c r="G29" s="33" t="s">
        <v>247</v>
      </c>
    </row>
    <row r="30" spans="1:7" ht="19.5" customHeight="1" x14ac:dyDescent="0.45">
      <c r="A30" s="57" t="s">
        <v>248</v>
      </c>
      <c r="F30" s="54">
        <f>ROUND(F29*ASSUMPTIONS!F13+(ASSUMPTIONS!B6+ASSUMPTIONS!B7+ASSUMPTIONS!B8)*ASSUMPTIONS!F14,2)</f>
        <v>38.07</v>
      </c>
      <c r="G30" s="33" t="s">
        <v>249</v>
      </c>
    </row>
    <row r="31" spans="1:7" ht="21.75" customHeight="1" x14ac:dyDescent="0.45">
      <c r="A31" s="7" t="s">
        <v>250</v>
      </c>
      <c r="B31" s="7"/>
      <c r="C31" s="7"/>
      <c r="D31" s="7"/>
      <c r="E31" s="7"/>
      <c r="F31" s="58">
        <f>F29-F30</f>
        <v>1015.9699999999999</v>
      </c>
      <c r="G31" s="33"/>
    </row>
  </sheetData>
  <mergeCells count="9">
    <mergeCell ref="A20:G20"/>
    <mergeCell ref="A24:G24"/>
    <mergeCell ref="A29:E29"/>
    <mergeCell ref="A31:E31"/>
    <mergeCell ref="A1:G1"/>
    <mergeCell ref="A2:G2"/>
    <mergeCell ref="A4:G4"/>
    <mergeCell ref="A11:G11"/>
    <mergeCell ref="A17:G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
  <sheetViews>
    <sheetView showGridLines="0" zoomScaleNormal="100" workbookViewId="0">
      <selection sqref="A1:G1"/>
    </sheetView>
  </sheetViews>
  <sheetFormatPr defaultColWidth="8.6640625" defaultRowHeight="14.25" x14ac:dyDescent="0.45"/>
  <cols>
    <col min="1" max="1" width="50" customWidth="1"/>
    <col min="2" max="5" width="10" customWidth="1"/>
    <col min="6" max="6" width="13" customWidth="1"/>
    <col min="7" max="7" width="38" customWidth="1"/>
  </cols>
  <sheetData>
    <row r="1" spans="1:7" ht="37.5" customHeight="1" x14ac:dyDescent="0.45">
      <c r="A1" s="80" t="s">
        <v>251</v>
      </c>
      <c r="B1" s="80"/>
      <c r="C1" s="80"/>
      <c r="D1" s="80"/>
      <c r="E1" s="80"/>
      <c r="F1" s="80"/>
      <c r="G1" s="80"/>
    </row>
    <row r="2" spans="1:7" ht="19.5" customHeight="1" x14ac:dyDescent="0.45">
      <c r="A2" s="4" t="s">
        <v>252</v>
      </c>
      <c r="B2" s="4"/>
      <c r="C2" s="4"/>
      <c r="D2" s="4"/>
      <c r="E2" s="4"/>
      <c r="F2" s="4"/>
      <c r="G2" s="4"/>
    </row>
    <row r="3" spans="1:7" ht="27.75" customHeight="1" x14ac:dyDescent="0.45">
      <c r="A3" s="41" t="s">
        <v>253</v>
      </c>
      <c r="B3" s="31" t="s">
        <v>211</v>
      </c>
      <c r="C3" s="31" t="s">
        <v>212</v>
      </c>
      <c r="D3" s="31" t="s">
        <v>213</v>
      </c>
      <c r="E3" s="31" t="s">
        <v>214</v>
      </c>
      <c r="F3" s="31" t="s">
        <v>215</v>
      </c>
      <c r="G3" s="42" t="s">
        <v>216</v>
      </c>
    </row>
    <row r="4" spans="1:7" ht="21.75" customHeight="1" x14ac:dyDescent="0.45">
      <c r="A4" s="3" t="s">
        <v>254</v>
      </c>
      <c r="B4" s="3"/>
      <c r="C4" s="3"/>
      <c r="D4" s="3"/>
      <c r="E4" s="3"/>
      <c r="F4" s="3"/>
      <c r="G4" s="3"/>
    </row>
    <row r="5" spans="1:7" ht="31.5" customHeight="1" x14ac:dyDescent="0.45">
      <c r="A5" s="43" t="s">
        <v>255</v>
      </c>
      <c r="B5" s="44">
        <f>0</f>
        <v>0</v>
      </c>
      <c r="C5" s="44">
        <f>0</f>
        <v>0</v>
      </c>
      <c r="D5" s="44">
        <f>0</f>
        <v>0</v>
      </c>
      <c r="E5" s="44">
        <f>0</f>
        <v>0</v>
      </c>
      <c r="F5" s="59">
        <f>ASSUMPTIONS!F5</f>
        <v>20</v>
      </c>
      <c r="G5" s="33" t="s">
        <v>256</v>
      </c>
    </row>
    <row r="6" spans="1:7" ht="30.75" customHeight="1" x14ac:dyDescent="0.45">
      <c r="A6" s="43" t="s">
        <v>257</v>
      </c>
      <c r="B6" s="44">
        <f>0</f>
        <v>0</v>
      </c>
      <c r="C6" s="44">
        <f>0</f>
        <v>0</v>
      </c>
      <c r="D6" s="44">
        <f>0</f>
        <v>0</v>
      </c>
      <c r="E6" s="44">
        <f>0</f>
        <v>0</v>
      </c>
      <c r="F6" s="59">
        <f>ASSUMPTIONS!F6</f>
        <v>25</v>
      </c>
      <c r="G6" s="33" t="s">
        <v>258</v>
      </c>
    </row>
    <row r="7" spans="1:7" ht="31.5" customHeight="1" x14ac:dyDescent="0.45">
      <c r="A7" s="43" t="s">
        <v>259</v>
      </c>
      <c r="B7" s="44">
        <f>0</f>
        <v>0</v>
      </c>
      <c r="C7" s="44">
        <f>0</f>
        <v>0</v>
      </c>
      <c r="D7" s="44">
        <f>0</f>
        <v>0</v>
      </c>
      <c r="E7" s="44">
        <f>0</f>
        <v>0</v>
      </c>
      <c r="F7" s="59">
        <f>ASSUMPTIONS!F8</f>
        <v>0</v>
      </c>
      <c r="G7" s="33" t="s">
        <v>260</v>
      </c>
    </row>
    <row r="8" spans="1:7" ht="31.5" customHeight="1" x14ac:dyDescent="0.45">
      <c r="A8" s="43" t="s">
        <v>78</v>
      </c>
      <c r="B8" s="44">
        <f>0</f>
        <v>0</v>
      </c>
      <c r="C8" s="44">
        <f>0</f>
        <v>0</v>
      </c>
      <c r="D8" s="44">
        <f>0</f>
        <v>0</v>
      </c>
      <c r="E8" s="44">
        <f>0</f>
        <v>0</v>
      </c>
      <c r="F8" s="59">
        <f>ASSUMPTIONS!F9</f>
        <v>20</v>
      </c>
      <c r="G8" s="33" t="s">
        <v>261</v>
      </c>
    </row>
    <row r="9" spans="1:7" ht="31.5" customHeight="1" x14ac:dyDescent="0.45">
      <c r="A9" s="43" t="s">
        <v>81</v>
      </c>
      <c r="B9" s="44">
        <f>0</f>
        <v>0</v>
      </c>
      <c r="C9" s="44">
        <f>0</f>
        <v>0</v>
      </c>
      <c r="D9" s="44">
        <f>0</f>
        <v>0</v>
      </c>
      <c r="E9" s="44">
        <f>0</f>
        <v>0</v>
      </c>
      <c r="F9" s="59">
        <f>ASSUMPTIONS!F10</f>
        <v>26</v>
      </c>
      <c r="G9" s="33" t="s">
        <v>262</v>
      </c>
    </row>
    <row r="10" spans="1:7" ht="31.5" customHeight="1" x14ac:dyDescent="0.45">
      <c r="A10" s="43" t="s">
        <v>263</v>
      </c>
      <c r="B10" s="44">
        <f>0</f>
        <v>0</v>
      </c>
      <c r="C10" s="44">
        <f>0</f>
        <v>0</v>
      </c>
      <c r="D10" s="44">
        <f>0</f>
        <v>0</v>
      </c>
      <c r="E10" s="44">
        <f>0</f>
        <v>0</v>
      </c>
      <c r="F10" s="59">
        <f>ASSUMPTIONS!F11</f>
        <v>4</v>
      </c>
      <c r="G10" s="33" t="s">
        <v>264</v>
      </c>
    </row>
    <row r="11" spans="1:7" ht="31.5" customHeight="1" x14ac:dyDescent="0.45">
      <c r="A11" s="43" t="s">
        <v>265</v>
      </c>
      <c r="B11" s="44">
        <f>0</f>
        <v>0</v>
      </c>
      <c r="C11" s="44">
        <f>0</f>
        <v>0</v>
      </c>
      <c r="D11" s="44">
        <f>0</f>
        <v>0</v>
      </c>
      <c r="E11" s="44">
        <f>0</f>
        <v>0</v>
      </c>
      <c r="F11" s="59">
        <f>ASSUMPTIONS!F12</f>
        <v>2</v>
      </c>
      <c r="G11" s="33" t="s">
        <v>88</v>
      </c>
    </row>
    <row r="12" spans="1:7" ht="31.5" customHeight="1" x14ac:dyDescent="0.45">
      <c r="A12" s="43" t="s">
        <v>266</v>
      </c>
      <c r="B12" s="44">
        <f>0</f>
        <v>0</v>
      </c>
      <c r="C12" s="44">
        <f>0</f>
        <v>0</v>
      </c>
      <c r="D12" s="44">
        <f>0</f>
        <v>0</v>
      </c>
      <c r="E12" s="44">
        <f>0</f>
        <v>0</v>
      </c>
      <c r="F12" s="59">
        <f>ASSUMPTIONS!F15</f>
        <v>10</v>
      </c>
      <c r="G12" s="33" t="s">
        <v>267</v>
      </c>
    </row>
    <row r="13" spans="1:7" ht="31.5" customHeight="1" x14ac:dyDescent="0.45">
      <c r="A13" s="43" t="s">
        <v>268</v>
      </c>
      <c r="B13" s="44">
        <f>0</f>
        <v>0</v>
      </c>
      <c r="C13" s="44">
        <f>0</f>
        <v>0</v>
      </c>
      <c r="D13" s="44">
        <f>0</f>
        <v>0</v>
      </c>
      <c r="E13" s="44">
        <f>0</f>
        <v>0</v>
      </c>
      <c r="F13" s="59">
        <f>ASSUMPTIONS!F16</f>
        <v>25</v>
      </c>
      <c r="G13" s="33" t="s">
        <v>269</v>
      </c>
    </row>
    <row r="14" spans="1:7" ht="21.75" customHeight="1" x14ac:dyDescent="0.45">
      <c r="A14" s="47" t="s">
        <v>270</v>
      </c>
      <c r="B14" s="48">
        <f>0</f>
        <v>0</v>
      </c>
      <c r="C14" s="48">
        <f>0</f>
        <v>0</v>
      </c>
      <c r="D14" s="48">
        <f>0</f>
        <v>0</v>
      </c>
      <c r="E14" s="48">
        <f>0</f>
        <v>0</v>
      </c>
      <c r="F14" s="49">
        <f>SUM(F5:F13)</f>
        <v>132</v>
      </c>
      <c r="G14" s="33" t="s">
        <v>271</v>
      </c>
    </row>
    <row r="15" spans="1:7" ht="31.5" customHeight="1" x14ac:dyDescent="0.45">
      <c r="A15" s="43" t="s">
        <v>272</v>
      </c>
      <c r="F15" s="46">
        <f>IF((ASSUMPTIONS!B5+ASSUMPTIONS!B6+ASSUMPTIONS!B7+ASSUMPTIONS!B8)&gt;10000,((ASSUMPTIONS!B5+ASSUMPTIONS!B6+ASSUMPTIONS!B7+ASSUMPTIONS!B8)-10000)*ASSUMPTIONS!F7,0)</f>
        <v>0</v>
      </c>
      <c r="G15" s="33" t="s">
        <v>273</v>
      </c>
    </row>
    <row r="16" spans="1:7" ht="19.5" customHeight="1" x14ac:dyDescent="0.45"/>
    <row r="17" spans="1:7" ht="21.75" customHeight="1" x14ac:dyDescent="0.45">
      <c r="A17" s="81" t="s">
        <v>274</v>
      </c>
      <c r="B17" s="81"/>
      <c r="C17" s="81"/>
      <c r="D17" s="81"/>
      <c r="E17" s="81"/>
      <c r="F17" s="81"/>
      <c r="G17" s="81"/>
    </row>
    <row r="18" spans="1:7" ht="31.5" customHeight="1" x14ac:dyDescent="0.45">
      <c r="A18" s="43" t="s">
        <v>275</v>
      </c>
      <c r="F18" s="46">
        <f>ROUND(ASSUMPTIONS!B5*(ASSUMPTIONS!B21/12)*(ASSUMPTIONS!B20/1000),2)</f>
        <v>0.04</v>
      </c>
      <c r="G18" s="33" t="s">
        <v>276</v>
      </c>
    </row>
    <row r="19" spans="1:7" ht="31.5" customHeight="1" x14ac:dyDescent="0.45">
      <c r="A19" s="43" t="s">
        <v>277</v>
      </c>
      <c r="F19" s="46">
        <f>ROUND(ASSUMPTIONS!B6*ASSUMPTIONS!B22*(ASSUMPTIONS!B20/1000),2)</f>
        <v>2.25</v>
      </c>
      <c r="G19" s="33" t="s">
        <v>278</v>
      </c>
    </row>
    <row r="20" spans="1:7" ht="19.5" customHeight="1" x14ac:dyDescent="0.45">
      <c r="A20" s="43" t="s">
        <v>279</v>
      </c>
      <c r="F20" s="46">
        <f>ROUND(ASSUMPTIONS!B7*ASSUMPTIONS!B23*(ASSUMPTIONS!B20/1000),2)</f>
        <v>4.8</v>
      </c>
      <c r="G20" s="33" t="s">
        <v>280</v>
      </c>
    </row>
    <row r="21" spans="1:7" ht="19.5" customHeight="1" x14ac:dyDescent="0.45">
      <c r="A21" s="43" t="s">
        <v>281</v>
      </c>
      <c r="F21" s="46">
        <f>ROUND(ASSUMPTIONS!B8*ASSUMPTIONS!B24*(ASSUMPTIONS!B20/1000),2)</f>
        <v>5</v>
      </c>
      <c r="G21" s="33" t="s">
        <v>282</v>
      </c>
    </row>
    <row r="22" spans="1:7" ht="31.5" customHeight="1" x14ac:dyDescent="0.45">
      <c r="A22" s="43" t="s">
        <v>283</v>
      </c>
      <c r="F22" s="46">
        <f>ROUND((ASSUMPTIONS!B6*ASSUMPTIONS!B29+ASSUMPTIONS!B7*ASSUMPTIONS!B30+ASSUMPTIONS!B8*ASSUMPTIONS!B31)*ASSUMPTIONS!B33,2)</f>
        <v>0.74</v>
      </c>
      <c r="G22" s="33" t="s">
        <v>284</v>
      </c>
    </row>
    <row r="23" spans="1:7" ht="21.75" customHeight="1" x14ac:dyDescent="0.45">
      <c r="A23" s="47" t="s">
        <v>285</v>
      </c>
      <c r="F23" s="49">
        <f>SUM(F18:F22)</f>
        <v>12.83</v>
      </c>
      <c r="G23" s="33" t="s">
        <v>286</v>
      </c>
    </row>
    <row r="24" spans="1:7" ht="19.5" customHeight="1" x14ac:dyDescent="0.45"/>
    <row r="25" spans="1:7" ht="21.75" customHeight="1" x14ac:dyDescent="0.45">
      <c r="A25" s="82" t="s">
        <v>287</v>
      </c>
      <c r="B25" s="82"/>
      <c r="C25" s="82"/>
      <c r="D25" s="82"/>
      <c r="E25" s="82"/>
      <c r="F25" s="82"/>
      <c r="G25" s="82"/>
    </row>
    <row r="26" spans="1:7" ht="19.5" customHeight="1" x14ac:dyDescent="0.45">
      <c r="A26" s="43" t="s">
        <v>288</v>
      </c>
      <c r="F26" s="60">
        <f>ROUND(ASSUMPTIONS!B5*ASSUMPTIONS!B37*ASSUMPTIONS!B36,4)</f>
        <v>0.3</v>
      </c>
      <c r="G26" s="33" t="s">
        <v>289</v>
      </c>
    </row>
    <row r="27" spans="1:7" ht="19.5" customHeight="1" x14ac:dyDescent="0.45">
      <c r="A27" s="43" t="s">
        <v>290</v>
      </c>
      <c r="F27" s="60">
        <f>ROUND(ASSUMPTIONS!B6*ASSUMPTIONS!B38*ASSUMPTIONS!B36,4)</f>
        <v>0.33750000000000002</v>
      </c>
      <c r="G27" s="33" t="s">
        <v>291</v>
      </c>
    </row>
    <row r="28" spans="1:7" ht="19.5" customHeight="1" x14ac:dyDescent="0.45">
      <c r="A28" s="43" t="s">
        <v>292</v>
      </c>
      <c r="F28" s="60">
        <f>ROUND(ASSUMPTIONS!B7*ASSUMPTIONS!B39*ASSUMPTIONS!B36,4)</f>
        <v>0.96</v>
      </c>
      <c r="G28" s="33" t="s">
        <v>293</v>
      </c>
    </row>
    <row r="29" spans="1:7" ht="31.5" customHeight="1" x14ac:dyDescent="0.45">
      <c r="A29" s="43" t="s">
        <v>294</v>
      </c>
      <c r="F29" s="60">
        <f>ROUND(ASSUMPTIONS!B8*ASSUMPTIONS!B40*ASSUMPTIONS!B36,4)</f>
        <v>1.5</v>
      </c>
      <c r="G29" s="33" t="s">
        <v>295</v>
      </c>
    </row>
    <row r="30" spans="1:7" ht="21.75" customHeight="1" x14ac:dyDescent="0.45">
      <c r="A30" s="47" t="s">
        <v>296</v>
      </c>
      <c r="F30" s="49">
        <f>SUM(F26:F29)</f>
        <v>3.0975000000000001</v>
      </c>
      <c r="G30" s="33" t="s">
        <v>297</v>
      </c>
    </row>
    <row r="31" spans="1:7" ht="19.5" customHeight="1" x14ac:dyDescent="0.45">
      <c r="G31" s="33" t="s">
        <v>297</v>
      </c>
    </row>
    <row r="32" spans="1:7" ht="21.75" customHeight="1" x14ac:dyDescent="0.45">
      <c r="A32" s="1" t="s">
        <v>298</v>
      </c>
      <c r="B32" s="1"/>
      <c r="C32" s="1"/>
      <c r="D32" s="1"/>
      <c r="E32" s="1"/>
      <c r="F32" s="1"/>
      <c r="G32" s="1"/>
    </row>
    <row r="33" spans="1:7" ht="31.5" customHeight="1" x14ac:dyDescent="0.45">
      <c r="A33" s="43" t="s">
        <v>299</v>
      </c>
      <c r="F33" s="46">
        <f>ROUND((ROUND(ASSUMPTIONS!B6*ASSUMPTIONS!F22*ASSUMPTIONS!F21*ASSUMPTIONS!F20,2)+ROUND(ASSUMPTIONS!B7*ASSUMPTIONS!F23*ASSUMPTIONS!F21*ASSUMPTIONS!F20,2)+ROUND(ASSUMPTIONS!B8*ASSUMPTIONS!F24*ASSUMPTIONS!F21*ASSUMPTIONS!F20,2))*ASSUMPTIONS!F29,2)</f>
        <v>4.05</v>
      </c>
      <c r="G33" s="33" t="s">
        <v>300</v>
      </c>
    </row>
    <row r="34" spans="1:7" ht="21.75" customHeight="1" x14ac:dyDescent="0.45">
      <c r="A34" s="47" t="s">
        <v>301</v>
      </c>
      <c r="F34" s="49">
        <f>F33</f>
        <v>4.05</v>
      </c>
      <c r="G34" s="33"/>
    </row>
    <row r="35" spans="1:7" ht="19.5" customHeight="1" x14ac:dyDescent="0.45"/>
    <row r="36" spans="1:7" ht="21.75" customHeight="1" x14ac:dyDescent="0.45">
      <c r="A36" s="83" t="s">
        <v>302</v>
      </c>
      <c r="B36" s="83"/>
      <c r="C36" s="83"/>
      <c r="D36" s="83"/>
      <c r="E36" s="83"/>
      <c r="F36" s="61">
        <f>ROUND(F14+F23+F30+F34,2)</f>
        <v>151.97999999999999</v>
      </c>
      <c r="G36" s="33" t="s">
        <v>303</v>
      </c>
    </row>
  </sheetData>
  <mergeCells count="7">
    <mergeCell ref="A32:G32"/>
    <mergeCell ref="A36:E36"/>
    <mergeCell ref="A1:G1"/>
    <mergeCell ref="A2:G2"/>
    <mergeCell ref="A4:G4"/>
    <mergeCell ref="A17:G17"/>
    <mergeCell ref="A25:G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
  <sheetViews>
    <sheetView showGridLines="0" zoomScaleNormal="100" workbookViewId="0">
      <selection activeCell="J5" sqref="J5"/>
    </sheetView>
  </sheetViews>
  <sheetFormatPr defaultColWidth="8.6640625" defaultRowHeight="14.25" x14ac:dyDescent="0.45"/>
  <cols>
    <col min="1" max="1" width="42" customWidth="1"/>
    <col min="2" max="5" width="13" customWidth="1"/>
    <col min="6" max="6" width="3" customWidth="1"/>
    <col min="7" max="7" width="40.59765625" customWidth="1"/>
  </cols>
  <sheetData>
    <row r="1" spans="1:7" ht="37.5" customHeight="1" x14ac:dyDescent="0.45">
      <c r="A1" s="80" t="s">
        <v>304</v>
      </c>
      <c r="B1" s="80"/>
      <c r="C1" s="80"/>
      <c r="D1" s="80"/>
      <c r="E1" s="80"/>
      <c r="F1" s="80"/>
      <c r="G1" s="80"/>
    </row>
    <row r="2" spans="1:7" ht="19.5" customHeight="1" x14ac:dyDescent="0.45">
      <c r="A2" s="4" t="s">
        <v>305</v>
      </c>
      <c r="B2" s="4"/>
      <c r="C2" s="4"/>
      <c r="D2" s="4"/>
      <c r="E2" s="4"/>
      <c r="F2" s="4"/>
      <c r="G2" s="4"/>
    </row>
    <row r="3" spans="1:7" ht="27.75" customHeight="1" x14ac:dyDescent="0.45">
      <c r="A3" s="41" t="s">
        <v>306</v>
      </c>
      <c r="B3" s="31" t="s">
        <v>307</v>
      </c>
      <c r="C3" s="31" t="s">
        <v>308</v>
      </c>
      <c r="D3" s="31" t="s">
        <v>309</v>
      </c>
      <c r="E3" s="31" t="s">
        <v>310</v>
      </c>
      <c r="F3" s="31"/>
      <c r="G3" s="42" t="s">
        <v>216</v>
      </c>
    </row>
    <row r="4" spans="1:7" ht="21.75" customHeight="1" x14ac:dyDescent="0.45">
      <c r="A4" s="2" t="s">
        <v>311</v>
      </c>
      <c r="B4" s="2"/>
      <c r="C4" s="2"/>
      <c r="D4" s="2"/>
      <c r="E4" s="2"/>
      <c r="F4" s="2"/>
      <c r="G4" s="2"/>
    </row>
    <row r="5" spans="1:7" ht="31.5" customHeight="1" x14ac:dyDescent="0.45">
      <c r="A5" s="43" t="s">
        <v>312</v>
      </c>
      <c r="B5" s="59">
        <f>REVENUE!F9</f>
        <v>942.47</v>
      </c>
      <c r="C5" s="46">
        <f>B5*12</f>
        <v>11309.64</v>
      </c>
      <c r="D5" s="46">
        <f>B5*12*1.5</f>
        <v>16964.46</v>
      </c>
      <c r="E5" s="46">
        <f>B5*12*2.5</f>
        <v>28274.1</v>
      </c>
      <c r="G5" s="33" t="s">
        <v>313</v>
      </c>
    </row>
    <row r="6" spans="1:7" ht="28.5" customHeight="1" x14ac:dyDescent="0.45">
      <c r="A6" s="43" t="s">
        <v>314</v>
      </c>
      <c r="B6" s="59">
        <f>REVENUE!F15</f>
        <v>53.9</v>
      </c>
      <c r="C6" s="46">
        <f>B6*12</f>
        <v>646.79999999999995</v>
      </c>
      <c r="D6" s="46">
        <f>B6*12*1.5</f>
        <v>970.19999999999993</v>
      </c>
      <c r="E6" s="46">
        <f>B6*12*2.5</f>
        <v>1617</v>
      </c>
      <c r="G6" s="33" t="s">
        <v>315</v>
      </c>
    </row>
    <row r="7" spans="1:7" ht="19.5" customHeight="1" x14ac:dyDescent="0.45">
      <c r="A7" s="43" t="s">
        <v>316</v>
      </c>
      <c r="B7" s="59">
        <f>REVENUE!F18</f>
        <v>4.5</v>
      </c>
      <c r="C7" s="46">
        <f>B7*12</f>
        <v>54</v>
      </c>
      <c r="D7" s="46">
        <f>B7*12*1.5</f>
        <v>81</v>
      </c>
      <c r="E7" s="46">
        <f>B7*12*2.5</f>
        <v>135</v>
      </c>
      <c r="G7" s="33" t="s">
        <v>317</v>
      </c>
    </row>
    <row r="8" spans="1:7" ht="19.5" customHeight="1" x14ac:dyDescent="0.45">
      <c r="A8" s="43" t="s">
        <v>318</v>
      </c>
      <c r="B8" s="59">
        <f>REVENUE!F22</f>
        <v>45.22</v>
      </c>
      <c r="C8" s="46">
        <f>B8*12</f>
        <v>542.64</v>
      </c>
      <c r="D8" s="46">
        <f>B8*12*1.5</f>
        <v>813.96</v>
      </c>
      <c r="E8" s="46">
        <f>B8*12*2.5</f>
        <v>1356.6</v>
      </c>
      <c r="G8" s="33" t="s">
        <v>319</v>
      </c>
    </row>
    <row r="9" spans="1:7" ht="19.5" customHeight="1" x14ac:dyDescent="0.45">
      <c r="A9" s="43" t="s">
        <v>320</v>
      </c>
      <c r="B9" s="59">
        <f>REVENUE!F27</f>
        <v>7.95</v>
      </c>
      <c r="C9" s="46">
        <f>B9*12</f>
        <v>95.4</v>
      </c>
      <c r="D9" s="46">
        <f>B9*12*1.5</f>
        <v>143.10000000000002</v>
      </c>
      <c r="E9" s="46">
        <f>B9*12*2.5</f>
        <v>238.5</v>
      </c>
      <c r="G9" s="33" t="s">
        <v>321</v>
      </c>
    </row>
    <row r="10" spans="1:7" ht="21.75" customHeight="1" x14ac:dyDescent="0.45">
      <c r="A10" s="47" t="s">
        <v>322</v>
      </c>
      <c r="B10" s="55">
        <f>SUM(B5:B9)</f>
        <v>1054.04</v>
      </c>
      <c r="C10" s="55">
        <f>SUM(C5:C9)</f>
        <v>12648.479999999998</v>
      </c>
      <c r="D10" s="55">
        <f>SUM(D5:D9)</f>
        <v>18972.719999999998</v>
      </c>
      <c r="E10" s="55">
        <f>SUM(E5:E9)</f>
        <v>31621.199999999997</v>
      </c>
    </row>
    <row r="11" spans="1:7" ht="19.5" customHeight="1" x14ac:dyDescent="0.45">
      <c r="A11" s="62" t="s">
        <v>323</v>
      </c>
      <c r="B11" s="59">
        <f>-REVENUE!F30</f>
        <v>-38.07</v>
      </c>
      <c r="C11" s="54">
        <f>B11*12</f>
        <v>-456.84000000000003</v>
      </c>
      <c r="D11" s="54">
        <f>B11*12*1.5</f>
        <v>-685.26</v>
      </c>
      <c r="E11" s="54">
        <f>B11*12*2.5</f>
        <v>-1142.1000000000001</v>
      </c>
    </row>
    <row r="12" spans="1:7" ht="21.75" customHeight="1" x14ac:dyDescent="0.45">
      <c r="A12" s="63" t="s">
        <v>324</v>
      </c>
      <c r="B12" s="55">
        <f>B10+B11</f>
        <v>1015.9699999999999</v>
      </c>
      <c r="C12" s="55">
        <f>C10+C11</f>
        <v>12191.639999999998</v>
      </c>
      <c r="D12" s="55">
        <f>D10+D11</f>
        <v>18287.46</v>
      </c>
      <c r="E12" s="55">
        <f>E10+E11</f>
        <v>30479.1</v>
      </c>
    </row>
    <row r="13" spans="1:7" ht="19.5" customHeight="1" x14ac:dyDescent="0.45"/>
    <row r="14" spans="1:7" ht="21.75" customHeight="1" x14ac:dyDescent="0.45">
      <c r="A14" s="78" t="s">
        <v>325</v>
      </c>
      <c r="B14" s="78"/>
      <c r="C14" s="78"/>
      <c r="D14" s="78"/>
      <c r="E14" s="78"/>
      <c r="F14" s="78"/>
      <c r="G14" s="78"/>
    </row>
    <row r="15" spans="1:7" ht="19.5" customHeight="1" x14ac:dyDescent="0.45">
      <c r="A15" s="43" t="s">
        <v>326</v>
      </c>
      <c r="B15" s="59">
        <f>COSTS!F14</f>
        <v>132</v>
      </c>
      <c r="C15" s="46">
        <f>B15*12</f>
        <v>1584</v>
      </c>
      <c r="D15" s="46">
        <f>B15*12*1.3</f>
        <v>2059.2000000000003</v>
      </c>
      <c r="E15" s="46">
        <f>B15*12*1.7</f>
        <v>2692.7999999999997</v>
      </c>
      <c r="G15" s="33" t="s">
        <v>327</v>
      </c>
    </row>
    <row r="16" spans="1:7" ht="19.5" customHeight="1" x14ac:dyDescent="0.45">
      <c r="A16" s="43" t="s">
        <v>328</v>
      </c>
      <c r="B16" s="59">
        <f>-COSTS!F15</f>
        <v>0</v>
      </c>
      <c r="C16" s="46">
        <f>B16*12</f>
        <v>0</v>
      </c>
      <c r="D16" s="46">
        <f>B16*12*1.3</f>
        <v>0</v>
      </c>
      <c r="E16" s="46">
        <f>B16*12*1.7</f>
        <v>0</v>
      </c>
      <c r="G16" s="33" t="s">
        <v>329</v>
      </c>
    </row>
    <row r="17" spans="1:7" ht="19.5" customHeight="1" x14ac:dyDescent="0.45">
      <c r="A17" s="43" t="s">
        <v>330</v>
      </c>
      <c r="B17" s="59">
        <f>COSTS!F23</f>
        <v>12.83</v>
      </c>
      <c r="C17" s="46">
        <f>B17*12</f>
        <v>153.96</v>
      </c>
      <c r="D17" s="46">
        <f>B17*12*1.3</f>
        <v>200.14800000000002</v>
      </c>
      <c r="E17" s="46">
        <f>B17*12*1.7</f>
        <v>261.73200000000003</v>
      </c>
      <c r="G17" s="33" t="s">
        <v>331</v>
      </c>
    </row>
    <row r="18" spans="1:7" ht="19.5" customHeight="1" x14ac:dyDescent="0.45">
      <c r="A18" s="43" t="s">
        <v>332</v>
      </c>
      <c r="B18" s="59">
        <f>COSTS!F30</f>
        <v>3.0975000000000001</v>
      </c>
      <c r="C18" s="46">
        <f>B18*12</f>
        <v>37.17</v>
      </c>
      <c r="D18" s="46">
        <f>B18*12*1.3</f>
        <v>48.321000000000005</v>
      </c>
      <c r="E18" s="46">
        <f>B18*12*1.7</f>
        <v>63.189</v>
      </c>
      <c r="G18" s="33" t="s">
        <v>333</v>
      </c>
    </row>
    <row r="19" spans="1:7" ht="19.5" customHeight="1" x14ac:dyDescent="0.45">
      <c r="A19" s="43" t="s">
        <v>334</v>
      </c>
      <c r="B19" s="59">
        <f>COSTS!F34</f>
        <v>4.05</v>
      </c>
      <c r="C19" s="46">
        <f>B19*12</f>
        <v>48.599999999999994</v>
      </c>
      <c r="D19" s="46">
        <f>B19*12*1.3</f>
        <v>63.179999999999993</v>
      </c>
      <c r="E19" s="46">
        <f>B19*12*1.7</f>
        <v>82.61999999999999</v>
      </c>
      <c r="G19" s="33" t="s">
        <v>335</v>
      </c>
    </row>
    <row r="20" spans="1:7" ht="21.75" customHeight="1" x14ac:dyDescent="0.45">
      <c r="A20" s="64" t="s">
        <v>336</v>
      </c>
      <c r="B20" s="65">
        <f>SUM(B15:B19)</f>
        <v>151.97750000000002</v>
      </c>
      <c r="C20" s="65">
        <f>SUM(C15:C19)</f>
        <v>1823.73</v>
      </c>
      <c r="D20" s="65">
        <f>SUM(D15:D19)</f>
        <v>2370.8490000000002</v>
      </c>
      <c r="E20" s="65">
        <f>SUM(E15:E19)</f>
        <v>3100.3409999999994</v>
      </c>
    </row>
    <row r="21" spans="1:7" ht="19.5" customHeight="1" x14ac:dyDescent="0.45"/>
    <row r="22" spans="1:7" ht="21.75" customHeight="1" x14ac:dyDescent="0.45">
      <c r="A22" s="16" t="s">
        <v>337</v>
      </c>
      <c r="B22" s="66">
        <f>B12-B20</f>
        <v>863.99249999999984</v>
      </c>
      <c r="C22" s="66">
        <f>C12-C20</f>
        <v>10367.909999999998</v>
      </c>
      <c r="D22" s="66">
        <f>D12-D20</f>
        <v>15916.610999999999</v>
      </c>
      <c r="E22" s="66">
        <f>E12-E20</f>
        <v>27378.758999999998</v>
      </c>
    </row>
    <row r="23" spans="1:7" ht="19.5" customHeight="1" x14ac:dyDescent="0.45">
      <c r="A23" s="30" t="s">
        <v>338</v>
      </c>
      <c r="B23" s="67">
        <f>IF(B12&lt;&gt;0,B22/B12,0)</f>
        <v>0.85041142947134252</v>
      </c>
      <c r="C23" s="67">
        <f>IF(C12&lt;&gt;0,C22/C12,0)</f>
        <v>0.85041142947134263</v>
      </c>
      <c r="D23" s="67">
        <f>IF(D12&lt;&gt;0,D22/D12,0)</f>
        <v>0.87035657220849694</v>
      </c>
      <c r="E23" s="67">
        <f>IF(E12&lt;&gt;0,E22/E12,0)</f>
        <v>0.89827977204051301</v>
      </c>
    </row>
    <row r="24" spans="1:7" ht="19.5" customHeight="1" x14ac:dyDescent="0.45"/>
    <row r="25" spans="1:7" ht="21.75" customHeight="1" x14ac:dyDescent="0.45">
      <c r="A25" s="78" t="s">
        <v>339</v>
      </c>
      <c r="B25" s="78"/>
      <c r="C25" s="78"/>
      <c r="D25" s="78"/>
      <c r="E25" s="78"/>
      <c r="F25" s="78"/>
      <c r="G25" s="78"/>
    </row>
    <row r="26" spans="1:7" ht="24" customHeight="1" x14ac:dyDescent="0.45">
      <c r="A26" s="43" t="s">
        <v>340</v>
      </c>
      <c r="B26" s="45">
        <f>ASSUMPTIONS!B6+ASSUMPTIONS!B7+ASSUMPTIONS!B8</f>
        <v>25</v>
      </c>
      <c r="G26" s="33" t="s">
        <v>341</v>
      </c>
    </row>
    <row r="27" spans="1:7" ht="31.5" customHeight="1" x14ac:dyDescent="0.45">
      <c r="A27" s="43" t="s">
        <v>342</v>
      </c>
      <c r="B27" s="46">
        <f>IF(B22&lt;0,ABS(B22),0)</f>
        <v>0</v>
      </c>
      <c r="G27" s="33" t="s">
        <v>343</v>
      </c>
    </row>
    <row r="28" spans="1:7" ht="19.5" customHeight="1" x14ac:dyDescent="0.45">
      <c r="A28" s="43" t="s">
        <v>344</v>
      </c>
      <c r="B28" s="46">
        <f>IF(B22&gt;0,B22,0)</f>
        <v>863.99249999999984</v>
      </c>
      <c r="G28" s="33" t="s">
        <v>345</v>
      </c>
    </row>
    <row r="29" spans="1:7" ht="24.85" customHeight="1" x14ac:dyDescent="0.45">
      <c r="A29" s="43" t="s">
        <v>346</v>
      </c>
      <c r="B29" s="60">
        <f>IF(ASSUMPTIONS!B5&gt;0,COSTS!F26/ASSUMPTIONS!B5,0)</f>
        <v>3.0000000000000001E-3</v>
      </c>
      <c r="G29" s="33" t="s">
        <v>347</v>
      </c>
    </row>
  </sheetData>
  <mergeCells count="5">
    <mergeCell ref="A1:G1"/>
    <mergeCell ref="A2:G2"/>
    <mergeCell ref="A4:G4"/>
    <mergeCell ref="A14:G14"/>
    <mergeCell ref="A25:G2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1"/>
  <sheetViews>
    <sheetView showGridLines="0" zoomScaleNormal="100" workbookViewId="0">
      <selection sqref="A1:G1"/>
    </sheetView>
  </sheetViews>
  <sheetFormatPr defaultColWidth="8.6640625" defaultRowHeight="14.25" x14ac:dyDescent="0.45"/>
  <cols>
    <col min="1" max="1" width="40" customWidth="1"/>
    <col min="2" max="5" width="13" customWidth="1"/>
    <col min="6" max="6" width="3" customWidth="1"/>
    <col min="7" max="7" width="43.1328125" customWidth="1"/>
  </cols>
  <sheetData>
    <row r="1" spans="1:7" ht="37.5" customHeight="1" x14ac:dyDescent="0.45">
      <c r="A1" s="80" t="s">
        <v>348</v>
      </c>
      <c r="B1" s="80"/>
      <c r="C1" s="80"/>
      <c r="D1" s="80"/>
      <c r="E1" s="80"/>
      <c r="F1" s="80"/>
      <c r="G1" s="80"/>
    </row>
    <row r="2" spans="1:7" ht="19.5" customHeight="1" x14ac:dyDescent="0.45">
      <c r="A2" s="4" t="s">
        <v>349</v>
      </c>
      <c r="B2" s="4"/>
      <c r="C2" s="4"/>
      <c r="D2" s="4"/>
      <c r="E2" s="4"/>
      <c r="F2" s="4"/>
      <c r="G2" s="4"/>
    </row>
    <row r="3" spans="1:7" ht="27.75" customHeight="1" x14ac:dyDescent="0.45">
      <c r="A3" s="41" t="s">
        <v>350</v>
      </c>
      <c r="B3" s="31" t="s">
        <v>351</v>
      </c>
      <c r="C3" s="31" t="s">
        <v>352</v>
      </c>
      <c r="D3" s="31" t="s">
        <v>353</v>
      </c>
      <c r="E3" s="31" t="s">
        <v>354</v>
      </c>
      <c r="F3" s="31"/>
      <c r="G3" s="42" t="s">
        <v>216</v>
      </c>
    </row>
    <row r="4" spans="1:7" ht="21.75" customHeight="1" x14ac:dyDescent="0.45">
      <c r="A4" s="82" t="s">
        <v>355</v>
      </c>
      <c r="B4" s="82"/>
      <c r="C4" s="82"/>
      <c r="D4" s="82"/>
      <c r="E4" s="82"/>
      <c r="F4" s="82"/>
      <c r="G4" s="82"/>
    </row>
    <row r="5" spans="1:7" ht="19.5" customHeight="1" x14ac:dyDescent="0.45">
      <c r="A5" s="23" t="s">
        <v>356</v>
      </c>
      <c r="B5" s="37">
        <v>1</v>
      </c>
      <c r="C5" s="37">
        <v>0.6</v>
      </c>
      <c r="D5" s="37">
        <v>0.3</v>
      </c>
      <c r="E5" s="37">
        <v>1.5</v>
      </c>
      <c r="G5" s="33" t="s">
        <v>357</v>
      </c>
    </row>
    <row r="6" spans="1:7" ht="19.5" customHeight="1" x14ac:dyDescent="0.45">
      <c r="A6" s="23" t="s">
        <v>358</v>
      </c>
      <c r="B6" s="37">
        <v>1</v>
      </c>
      <c r="C6" s="37">
        <v>0.5</v>
      </c>
      <c r="D6" s="37">
        <v>0.25</v>
      </c>
      <c r="E6" s="37">
        <v>2</v>
      </c>
      <c r="G6" s="33"/>
    </row>
    <row r="7" spans="1:7" ht="19.5" customHeight="1" x14ac:dyDescent="0.45">
      <c r="A7" s="23" t="s">
        <v>359</v>
      </c>
      <c r="B7" s="37">
        <v>1</v>
      </c>
      <c r="C7" s="37">
        <v>0.5</v>
      </c>
      <c r="D7" s="37">
        <v>0.25</v>
      </c>
      <c r="E7" s="37">
        <v>2</v>
      </c>
      <c r="G7" s="33"/>
    </row>
    <row r="8" spans="1:7" ht="19.5" customHeight="1" x14ac:dyDescent="0.45">
      <c r="A8" s="23" t="s">
        <v>360</v>
      </c>
      <c r="B8" s="37">
        <v>1</v>
      </c>
      <c r="C8" s="37">
        <v>0.5</v>
      </c>
      <c r="D8" s="37">
        <v>0.2</v>
      </c>
      <c r="E8" s="37">
        <v>1.5</v>
      </c>
      <c r="G8" s="33"/>
    </row>
    <row r="9" spans="1:7" ht="31.5" customHeight="1" x14ac:dyDescent="0.45">
      <c r="A9" s="23" t="s">
        <v>361</v>
      </c>
      <c r="B9" s="37">
        <v>1</v>
      </c>
      <c r="C9" s="37">
        <v>0.4</v>
      </c>
      <c r="D9" s="37">
        <v>0.1</v>
      </c>
      <c r="E9" s="37">
        <v>2</v>
      </c>
      <c r="G9" s="33" t="s">
        <v>362</v>
      </c>
    </row>
    <row r="10" spans="1:7" ht="19.5" customHeight="1" x14ac:dyDescent="0.45"/>
    <row r="11" spans="1:7" ht="21.75" customHeight="1" x14ac:dyDescent="0.45">
      <c r="A11" s="84" t="s">
        <v>363</v>
      </c>
      <c r="B11" s="84"/>
      <c r="C11" s="84"/>
      <c r="D11" s="84"/>
      <c r="E11" s="84"/>
      <c r="F11" s="84"/>
      <c r="G11" s="84"/>
    </row>
    <row r="12" spans="1:7" ht="19.5" customHeight="1" x14ac:dyDescent="0.45">
      <c r="A12" s="43" t="s">
        <v>364</v>
      </c>
      <c r="B12" s="68">
        <f>ROUND(ASSUMPTIONS!B6*B5,0)</f>
        <v>15</v>
      </c>
      <c r="C12" s="68">
        <f>ROUND(ASSUMPTIONS!B6*C5,0)</f>
        <v>9</v>
      </c>
      <c r="D12" s="68">
        <f>ROUND(ASSUMPTIONS!B6*D5,0)</f>
        <v>5</v>
      </c>
      <c r="E12" s="68">
        <f>ROUND(ASSUMPTIONS!B6*E5,0)</f>
        <v>23</v>
      </c>
    </row>
    <row r="13" spans="1:7" ht="19.5" customHeight="1" x14ac:dyDescent="0.45">
      <c r="A13" s="43" t="s">
        <v>365</v>
      </c>
      <c r="B13" s="68">
        <f>ROUND(ASSUMPTIONS!B7*B6,0)</f>
        <v>8</v>
      </c>
      <c r="C13" s="68">
        <f>ROUND(ASSUMPTIONS!B7*C6,0)</f>
        <v>4</v>
      </c>
      <c r="D13" s="68">
        <f>ROUND(ASSUMPTIONS!B7*D6,0)</f>
        <v>2</v>
      </c>
      <c r="E13" s="68">
        <f>ROUND(ASSUMPTIONS!B7*E6,0)</f>
        <v>16</v>
      </c>
    </row>
    <row r="14" spans="1:7" ht="19.5" customHeight="1" x14ac:dyDescent="0.45">
      <c r="A14" s="43" t="s">
        <v>366</v>
      </c>
      <c r="B14" s="68">
        <f>ROUND(ASSUMPTIONS!B8*B7,0)</f>
        <v>2</v>
      </c>
      <c r="C14" s="68">
        <f>ROUND(ASSUMPTIONS!B8*C7,0)</f>
        <v>1</v>
      </c>
      <c r="D14" s="68">
        <f>ROUND(ASSUMPTIONS!B8*D7,0)</f>
        <v>1</v>
      </c>
      <c r="E14" s="68">
        <f>ROUND(ASSUMPTIONS!B8*E7,0)</f>
        <v>4</v>
      </c>
    </row>
    <row r="15" spans="1:7" ht="19.5" customHeight="1" x14ac:dyDescent="0.45">
      <c r="A15" s="43" t="s">
        <v>367</v>
      </c>
      <c r="B15" s="69">
        <f>ROUND(B12*(1-ASSUMPTIONS!B15)*ASSUMPTIONS!B11+B12*ASSUMPTIONS!B15*ASSUMPTIONS!B11*(1-ASSUMPTIONS!B14)+B13*(1-ASSUMPTIONS!B16)*ASSUMPTIONS!B12+B13*ASSUMPTIONS!B16*ASSUMPTIONS!B12*(1-ASSUMPTIONS!B14)+B14*(1-ASSUMPTIONS!B17)*ASSUMPTIONS!B13+B14*ASSUMPTIONS!B17*ASSUMPTIONS!B13*(1-ASSUMPTIONS!B14),2)</f>
        <v>942.47</v>
      </c>
      <c r="C15" s="69">
        <f>ROUND(C12*(1-ASSUMPTIONS!B15)*ASSUMPTIONS!B11+C12*ASSUMPTIONS!B15*ASSUMPTIONS!B11*(1-ASSUMPTIONS!B14)+C13*(1-ASSUMPTIONS!B16)*ASSUMPTIONS!B12+C13*ASSUMPTIONS!B16*ASSUMPTIONS!B12*(1-ASSUMPTIONS!B14)+C14*(1-ASSUMPTIONS!B17)*ASSUMPTIONS!B13+C14*ASSUMPTIONS!B17*ASSUMPTIONS!B13*(1-ASSUMPTIONS!B14),2)</f>
        <v>499.22</v>
      </c>
      <c r="D15" s="69">
        <f>ROUND(D12*(1-ASSUMPTIONS!B15)*ASSUMPTIONS!B11+D12*ASSUMPTIONS!B15*ASSUMPTIONS!B11*(1-ASSUMPTIONS!B14)+D13*(1-ASSUMPTIONS!B16)*ASSUMPTIONS!B12+D13*ASSUMPTIONS!B16*ASSUMPTIONS!B12*(1-ASSUMPTIONS!B14)+D14*(1-ASSUMPTIONS!B17)*ASSUMPTIONS!B13+D14*ASSUMPTIONS!B17*ASSUMPTIONS!B13*(1-ASSUMPTIONS!B14),2)</f>
        <v>329.53</v>
      </c>
      <c r="E15" s="69">
        <f>ROUND(E12*(1-ASSUMPTIONS!B15)*ASSUMPTIONS!B11+E12*ASSUMPTIONS!B15*ASSUMPTIONS!B11*(1-ASSUMPTIONS!B14)+E13*(1-ASSUMPTIONS!B16)*ASSUMPTIONS!B12+E13*ASSUMPTIONS!B16*ASSUMPTIONS!B12*(1-ASSUMPTIONS!B14)+E14*(1-ASSUMPTIONS!B17)*ASSUMPTIONS!B13+E14*ASSUMPTIONS!B17*ASSUMPTIONS!B13*(1-ASSUMPTIONS!B14),2)</f>
        <v>1754.32</v>
      </c>
      <c r="G15" s="33" t="s">
        <v>368</v>
      </c>
    </row>
    <row r="16" spans="1:7" ht="19.5" customHeight="1" x14ac:dyDescent="0.45">
      <c r="A16" s="43" t="s">
        <v>369</v>
      </c>
      <c r="B16" s="69">
        <f>ROUND((B12*ASSUMPTIONS!B29*B8+B13*ASSUMPTIONS!B30*B8+B14*ASSUMPTIONS!B31*B8)*ASSUMPTIONS!B32,2)</f>
        <v>53.9</v>
      </c>
      <c r="C16" s="69">
        <f>ROUND((C12*ASSUMPTIONS!B29*C8+C13*ASSUMPTIONS!B30*C8+C14*ASSUMPTIONS!B31*C8)*ASSUMPTIONS!B32,2)</f>
        <v>14.3</v>
      </c>
      <c r="D16" s="69">
        <f>ROUND((D12*ASSUMPTIONS!B29*D8+D13*ASSUMPTIONS!B30*D8+D14*ASSUMPTIONS!B31*D8)*ASSUMPTIONS!B32,2)</f>
        <v>3.52</v>
      </c>
      <c r="E16" s="69">
        <f>ROUND((E12*ASSUMPTIONS!B29*E8+E13*ASSUMPTIONS!B30*E8+E14*ASSUMPTIONS!B31*E8)*ASSUMPTIONS!B32,2)</f>
        <v>150.15</v>
      </c>
      <c r="G16" s="33" t="s">
        <v>370</v>
      </c>
    </row>
    <row r="17" spans="1:7" ht="19.5" customHeight="1" x14ac:dyDescent="0.45">
      <c r="A17" s="43" t="s">
        <v>371</v>
      </c>
      <c r="B17" s="69">
        <f>ROUND(B12*ASSUMPTIONS!F22*B9*ASSUMPTIONS!F21*ASSUMPTIONS!F20*ASSUMPTIONS!F26+B13*ASSUMPTIONS!F23*B9*ASSUMPTIONS!F21*ASSUMPTIONS!F20*ASSUMPTIONS!F27+B14*ASSUMPTIONS!F24*B9*ASSUMPTIONS!F21*ASSUMPTIONS!F20*ASSUMPTIONS!F28,2)</f>
        <v>46.58</v>
      </c>
      <c r="C17" s="69">
        <f>ROUND(C12*ASSUMPTIONS!F22*C9*ASSUMPTIONS!F21*ASSUMPTIONS!F20*ASSUMPTIONS!F26+C13*ASSUMPTIONS!F23*C9*ASSUMPTIONS!F21*ASSUMPTIONS!F20*ASSUMPTIONS!F27+C14*ASSUMPTIONS!F24*C9*ASSUMPTIONS!F21*ASSUMPTIONS!F20*ASSUMPTIONS!F28,2)</f>
        <v>10.18</v>
      </c>
      <c r="D17" s="69">
        <f>ROUND(D12*ASSUMPTIONS!F22*D9*ASSUMPTIONS!F21*ASSUMPTIONS!F20*ASSUMPTIONS!F26+D13*ASSUMPTIONS!F23*D9*ASSUMPTIONS!F21*ASSUMPTIONS!F20*ASSUMPTIONS!F27+D14*ASSUMPTIONS!F24*D9*ASSUMPTIONS!F21*ASSUMPTIONS!F20*ASSUMPTIONS!F28,2)</f>
        <v>1.43</v>
      </c>
      <c r="E17" s="69">
        <f>ROUND(E12*ASSUMPTIONS!F22*E9*ASSUMPTIONS!F21*ASSUMPTIONS!F20*ASSUMPTIONS!F26+E13*ASSUMPTIONS!F23*E9*ASSUMPTIONS!F21*ASSUMPTIONS!F20*ASSUMPTIONS!F27+E14*ASSUMPTIONS!F24*E9*ASSUMPTIONS!F21*ASSUMPTIONS!F20*ASSUMPTIONS!F28,2)</f>
        <v>166.14</v>
      </c>
      <c r="G17" s="33" t="s">
        <v>372</v>
      </c>
    </row>
    <row r="18" spans="1:7" ht="21.75" customHeight="1" x14ac:dyDescent="0.45">
      <c r="A18" s="47" t="s">
        <v>373</v>
      </c>
      <c r="B18" s="49">
        <f>B15+B16+B17</f>
        <v>1042.95</v>
      </c>
      <c r="C18" s="49">
        <f>C15+C16+C17</f>
        <v>523.69999999999993</v>
      </c>
      <c r="D18" s="49">
        <f>D15+D16+D17</f>
        <v>334.47999999999996</v>
      </c>
      <c r="E18" s="49">
        <f>E15+E16+E17</f>
        <v>2070.61</v>
      </c>
    </row>
    <row r="19" spans="1:7" ht="19.5" customHeight="1" x14ac:dyDescent="0.45">
      <c r="A19" s="43" t="s">
        <v>374</v>
      </c>
      <c r="B19" s="59">
        <f>COSTS!F36</f>
        <v>151.97999999999999</v>
      </c>
      <c r="C19" s="59">
        <f>COSTS!F36</f>
        <v>151.97999999999999</v>
      </c>
      <c r="D19" s="59">
        <f>COSTS!F36</f>
        <v>151.97999999999999</v>
      </c>
      <c r="E19" s="59">
        <f>COSTS!F36</f>
        <v>151.97999999999999</v>
      </c>
    </row>
    <row r="20" spans="1:7" ht="21.75" customHeight="1" x14ac:dyDescent="0.45">
      <c r="A20" s="70" t="s">
        <v>375</v>
      </c>
      <c r="B20" s="71">
        <f>B18-B19</f>
        <v>890.97</v>
      </c>
      <c r="C20" s="71">
        <f>C18-C19</f>
        <v>371.71999999999991</v>
      </c>
      <c r="D20" s="71">
        <f>D18-D19</f>
        <v>182.49999999999997</v>
      </c>
      <c r="E20" s="71">
        <f>E18-E19</f>
        <v>1918.63</v>
      </c>
    </row>
    <row r="21" spans="1:7" ht="19.5" customHeight="1" x14ac:dyDescent="0.45">
      <c r="A21" s="30" t="s">
        <v>376</v>
      </c>
      <c r="B21" s="72">
        <f>B18*12</f>
        <v>12515.400000000001</v>
      </c>
      <c r="C21" s="72">
        <f>C18*12</f>
        <v>6284.4</v>
      </c>
      <c r="D21" s="72">
        <f>D18*12</f>
        <v>4013.7599999999993</v>
      </c>
      <c r="E21" s="72">
        <f>E18*12</f>
        <v>24847.32</v>
      </c>
    </row>
  </sheetData>
  <mergeCells count="4">
    <mergeCell ref="A1:G1"/>
    <mergeCell ref="A2:G2"/>
    <mergeCell ref="A4:G4"/>
    <mergeCell ref="A11:G1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showGridLines="0" zoomScaleNormal="100" workbookViewId="0">
      <selection activeCell="A2" sqref="A2:G2"/>
    </sheetView>
  </sheetViews>
  <sheetFormatPr defaultColWidth="8.6640625" defaultRowHeight="14.25" x14ac:dyDescent="0.45"/>
  <cols>
    <col min="1" max="1" width="51.9296875" style="86" customWidth="1"/>
    <col min="2" max="2" width="13" customWidth="1"/>
    <col min="3" max="5" width="11" customWidth="1"/>
    <col min="6" max="6" width="13" customWidth="1"/>
    <col min="7" max="7" width="38" style="86" customWidth="1"/>
  </cols>
  <sheetData>
    <row r="1" spans="1:7" ht="37.5" customHeight="1" x14ac:dyDescent="0.45">
      <c r="A1" s="80" t="s">
        <v>377</v>
      </c>
      <c r="B1" s="80"/>
      <c r="C1" s="80"/>
      <c r="D1" s="80"/>
      <c r="E1" s="80"/>
      <c r="F1" s="80"/>
      <c r="G1" s="80"/>
    </row>
    <row r="2" spans="1:7" ht="19.5" customHeight="1" x14ac:dyDescent="0.45">
      <c r="A2" s="4" t="s">
        <v>378</v>
      </c>
      <c r="B2" s="4"/>
      <c r="C2" s="4"/>
      <c r="D2" s="4"/>
      <c r="E2" s="4"/>
      <c r="F2" s="4"/>
      <c r="G2" s="4"/>
    </row>
    <row r="3" spans="1:7" ht="27.75" customHeight="1" x14ac:dyDescent="0.45">
      <c r="A3" s="85" t="s">
        <v>379</v>
      </c>
      <c r="B3" s="31" t="s">
        <v>380</v>
      </c>
      <c r="C3" s="31" t="s">
        <v>381</v>
      </c>
      <c r="D3" s="31" t="s">
        <v>382</v>
      </c>
      <c r="E3" s="31" t="s">
        <v>383</v>
      </c>
      <c r="F3" s="31" t="s">
        <v>384</v>
      </c>
      <c r="G3" s="88" t="s">
        <v>385</v>
      </c>
    </row>
    <row r="4" spans="1:7" ht="21.75" customHeight="1" x14ac:dyDescent="0.45">
      <c r="A4" s="82" t="s">
        <v>386</v>
      </c>
      <c r="B4" s="82"/>
      <c r="C4" s="82"/>
      <c r="D4" s="82"/>
      <c r="E4" s="82"/>
      <c r="F4" s="82"/>
      <c r="G4" s="82"/>
    </row>
    <row r="5" spans="1:7" ht="45" customHeight="1" x14ac:dyDescent="0.45">
      <c r="A5" s="15" t="s">
        <v>387</v>
      </c>
      <c r="B5" s="73" t="s">
        <v>388</v>
      </c>
      <c r="C5" s="69">
        <v>0.5</v>
      </c>
      <c r="D5" s="74">
        <v>0.96</v>
      </c>
      <c r="E5" s="32">
        <v>8</v>
      </c>
      <c r="F5" s="75">
        <v>96</v>
      </c>
      <c r="G5" s="33" t="s">
        <v>389</v>
      </c>
    </row>
    <row r="6" spans="1:7" ht="31.5" customHeight="1" x14ac:dyDescent="0.45">
      <c r="A6" s="15" t="s">
        <v>390</v>
      </c>
      <c r="B6" s="73" t="s">
        <v>391</v>
      </c>
      <c r="C6" s="69">
        <v>14</v>
      </c>
      <c r="D6" s="74">
        <v>0.6</v>
      </c>
      <c r="E6" s="32">
        <v>3</v>
      </c>
      <c r="F6" s="75">
        <v>63</v>
      </c>
      <c r="G6" s="33" t="s">
        <v>392</v>
      </c>
    </row>
    <row r="7" spans="1:7" ht="45" customHeight="1" x14ac:dyDescent="0.45">
      <c r="A7" s="15" t="s">
        <v>393</v>
      </c>
      <c r="B7" s="73" t="s">
        <v>394</v>
      </c>
      <c r="C7" s="69">
        <v>1</v>
      </c>
      <c r="D7" s="74">
        <v>0.96666666666666701</v>
      </c>
      <c r="E7" s="32">
        <v>2</v>
      </c>
      <c r="F7" s="75">
        <v>58</v>
      </c>
      <c r="G7" s="33" t="s">
        <v>395</v>
      </c>
    </row>
    <row r="8" spans="1:7" ht="45" customHeight="1" x14ac:dyDescent="0.45">
      <c r="A8" s="15" t="s">
        <v>396</v>
      </c>
      <c r="B8" s="73" t="s">
        <v>397</v>
      </c>
      <c r="C8" s="69">
        <v>45</v>
      </c>
      <c r="D8" s="74">
        <v>0.6</v>
      </c>
      <c r="E8" s="32">
        <v>1</v>
      </c>
      <c r="F8" s="75">
        <v>67.5</v>
      </c>
      <c r="G8" s="33" t="s">
        <v>398</v>
      </c>
    </row>
    <row r="9" spans="1:7" ht="21.75" customHeight="1" x14ac:dyDescent="0.45">
      <c r="A9" s="1" t="s">
        <v>399</v>
      </c>
      <c r="B9" s="1"/>
      <c r="C9" s="1"/>
      <c r="D9" s="1"/>
      <c r="E9" s="1"/>
      <c r="F9" s="1"/>
      <c r="G9" s="1"/>
    </row>
    <row r="10" spans="1:7" ht="45" customHeight="1" x14ac:dyDescent="0.45">
      <c r="A10" s="15" t="s">
        <v>400</v>
      </c>
      <c r="B10" s="73" t="s">
        <v>401</v>
      </c>
      <c r="C10" s="69">
        <v>0</v>
      </c>
      <c r="D10" s="74">
        <v>1</v>
      </c>
      <c r="E10" s="32">
        <v>5</v>
      </c>
      <c r="F10" s="75">
        <v>75</v>
      </c>
      <c r="G10" s="33" t="s">
        <v>402</v>
      </c>
    </row>
    <row r="11" spans="1:7" ht="45" customHeight="1" x14ac:dyDescent="0.45">
      <c r="A11" s="15" t="s">
        <v>403</v>
      </c>
      <c r="B11" s="73" t="s">
        <v>404</v>
      </c>
      <c r="C11" s="69">
        <v>0</v>
      </c>
      <c r="D11" s="74">
        <v>1</v>
      </c>
      <c r="E11" s="32">
        <v>4</v>
      </c>
      <c r="F11" s="75">
        <v>86</v>
      </c>
      <c r="G11" s="33" t="s">
        <v>405</v>
      </c>
    </row>
    <row r="12" spans="1:7" ht="45" customHeight="1" x14ac:dyDescent="0.45">
      <c r="A12" s="15" t="s">
        <v>406</v>
      </c>
      <c r="B12" s="73" t="s">
        <v>388</v>
      </c>
      <c r="C12" s="69">
        <v>0</v>
      </c>
      <c r="D12" s="74">
        <v>1</v>
      </c>
      <c r="E12" s="32">
        <v>3</v>
      </c>
      <c r="F12" s="75">
        <v>37.5</v>
      </c>
      <c r="G12" s="33" t="s">
        <v>407</v>
      </c>
    </row>
    <row r="13" spans="1:7" ht="31.5" customHeight="1" x14ac:dyDescent="0.45">
      <c r="A13" s="15" t="s">
        <v>408</v>
      </c>
      <c r="B13" s="73" t="s">
        <v>409</v>
      </c>
      <c r="C13" s="69">
        <v>0</v>
      </c>
      <c r="D13" s="74">
        <v>1</v>
      </c>
      <c r="E13" s="32">
        <v>2</v>
      </c>
      <c r="F13" s="75">
        <v>20</v>
      </c>
      <c r="G13" s="33" t="s">
        <v>410</v>
      </c>
    </row>
    <row r="14" spans="1:7" ht="21.75" customHeight="1" x14ac:dyDescent="0.45">
      <c r="A14" s="2" t="s">
        <v>411</v>
      </c>
      <c r="B14" s="2"/>
      <c r="C14" s="2"/>
      <c r="D14" s="2"/>
      <c r="E14" s="2"/>
      <c r="F14" s="2"/>
      <c r="G14" s="2"/>
    </row>
    <row r="15" spans="1:7" ht="45" customHeight="1" x14ac:dyDescent="0.45">
      <c r="A15" s="15" t="s">
        <v>412</v>
      </c>
      <c r="B15" s="73" t="s">
        <v>413</v>
      </c>
      <c r="C15" s="69">
        <v>0</v>
      </c>
      <c r="D15" s="74">
        <v>1</v>
      </c>
      <c r="E15" s="32">
        <v>1</v>
      </c>
      <c r="F15" s="75">
        <v>99</v>
      </c>
      <c r="G15" s="33" t="s">
        <v>414</v>
      </c>
    </row>
    <row r="16" spans="1:7" ht="45" customHeight="1" x14ac:dyDescent="0.45">
      <c r="A16" s="15" t="s">
        <v>415</v>
      </c>
      <c r="B16" s="73" t="s">
        <v>416</v>
      </c>
      <c r="C16" s="69">
        <v>50</v>
      </c>
      <c r="D16" s="74">
        <v>0.88864142538975499</v>
      </c>
      <c r="E16" s="32">
        <v>0</v>
      </c>
      <c r="F16" s="75">
        <v>0</v>
      </c>
      <c r="G16" s="33" t="s">
        <v>417</v>
      </c>
    </row>
    <row r="17" spans="1:7" ht="45" customHeight="1" x14ac:dyDescent="0.45">
      <c r="A17" s="15" t="s">
        <v>418</v>
      </c>
      <c r="B17" s="73" t="s">
        <v>419</v>
      </c>
      <c r="C17" s="69">
        <v>0</v>
      </c>
      <c r="D17" s="74">
        <v>1</v>
      </c>
      <c r="E17" s="32">
        <v>0</v>
      </c>
      <c r="F17" s="75">
        <v>0</v>
      </c>
      <c r="G17" s="33" t="s">
        <v>420</v>
      </c>
    </row>
    <row r="18" spans="1:7" ht="21.75" customHeight="1" x14ac:dyDescent="0.45">
      <c r="A18" s="81" t="s">
        <v>421</v>
      </c>
      <c r="B18" s="81"/>
      <c r="C18" s="81"/>
      <c r="D18" s="81"/>
      <c r="E18" s="81"/>
      <c r="F18" s="81"/>
      <c r="G18" s="81"/>
    </row>
    <row r="19" spans="1:7" ht="45" customHeight="1" x14ac:dyDescent="0.45">
      <c r="A19" s="15" t="s">
        <v>422</v>
      </c>
      <c r="B19" s="76" t="s">
        <v>423</v>
      </c>
      <c r="G19" s="33" t="s">
        <v>424</v>
      </c>
    </row>
    <row r="20" spans="1:7" ht="31.5" customHeight="1" x14ac:dyDescent="0.45">
      <c r="A20" s="15" t="s">
        <v>425</v>
      </c>
      <c r="B20" s="76" t="s">
        <v>423</v>
      </c>
      <c r="G20" s="33" t="s">
        <v>426</v>
      </c>
    </row>
    <row r="21" spans="1:7" ht="45" customHeight="1" x14ac:dyDescent="0.45">
      <c r="A21" s="15" t="s">
        <v>427</v>
      </c>
      <c r="B21" s="76" t="s">
        <v>423</v>
      </c>
      <c r="G21" s="33" t="s">
        <v>428</v>
      </c>
    </row>
    <row r="22" spans="1:7" ht="45" customHeight="1" x14ac:dyDescent="0.45">
      <c r="A22" s="15" t="s">
        <v>429</v>
      </c>
      <c r="B22" s="76" t="s">
        <v>423</v>
      </c>
      <c r="G22" s="33" t="s">
        <v>430</v>
      </c>
    </row>
    <row r="23" spans="1:7" ht="19.5" customHeight="1" x14ac:dyDescent="0.45"/>
    <row r="24" spans="1:7" ht="21.75" customHeight="1" x14ac:dyDescent="0.45">
      <c r="A24" s="84" t="s">
        <v>431</v>
      </c>
      <c r="B24" s="84"/>
      <c r="C24" s="84"/>
      <c r="D24" s="84"/>
      <c r="E24" s="84"/>
      <c r="F24" s="84"/>
      <c r="G24" s="84"/>
    </row>
    <row r="25" spans="1:7" ht="26.65" customHeight="1" x14ac:dyDescent="0.45">
      <c r="A25" s="87" t="s">
        <v>432</v>
      </c>
      <c r="F25" s="69">
        <v>0</v>
      </c>
      <c r="G25" s="33" t="s">
        <v>433</v>
      </c>
    </row>
  </sheetData>
  <mergeCells count="7">
    <mergeCell ref="A18:G18"/>
    <mergeCell ref="A24:G24"/>
    <mergeCell ref="A1:G1"/>
    <mergeCell ref="A2:G2"/>
    <mergeCell ref="A4:G4"/>
    <mergeCell ref="A9:G9"/>
    <mergeCell ref="A14:G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ASSUMPTIONS</vt:lpstr>
      <vt:lpstr>REVENUE</vt:lpstr>
      <vt:lpstr>COSTS</vt:lpstr>
      <vt:lpstr>P&amp;L SUMMARY</vt:lpstr>
      <vt:lpstr>SCENARIOS</vt:lpstr>
      <vt:lpstr>PRODUCTS &amp; MERCH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Glen Swindell</cp:lastModifiedBy>
  <cp:revision>0</cp:revision>
  <dcterms:created xsi:type="dcterms:W3CDTF">2026-05-04T23:42:47Z</dcterms:created>
  <dcterms:modified xsi:type="dcterms:W3CDTF">2026-05-05T00:39:20Z</dcterms:modified>
  <dc:language>en-US</dc:language>
</cp:coreProperties>
</file>